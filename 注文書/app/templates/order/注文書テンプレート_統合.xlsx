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3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ng\Downloads\"/>
    </mc:Choice>
  </mc:AlternateContent>
  <xr:revisionPtr revIDLastSave="0" documentId="13_ncr:1_{D2AFF82C-2860-4F3B-807E-773835775AD1}" xr6:coauthVersionLast="47" xr6:coauthVersionMax="47" xr10:uidLastSave="{00000000-0000-0000-0000-000000000000}"/>
  <x:bookViews>
    <x:workbookView xWindow="20544" yWindow="0" windowWidth="20832" windowHeight="16656" xr2:uid="{1562F2A9-65A0-4474-B221-BEB7ABDB720F}"/>
  </x:bookViews>
  <x:sheets>
    <x:sheet name="宛先会社名_技術者名" sheetId="1" r:id="rId1"/>
  </x:sheets>
  <x:definedNames>
    <x:definedName name="_xlnm.Print_Area" localSheetId="0">宛先会社名_技術者名!$A$1:$Q$38</x:definedName>
  </x:definedNames>
  <x:calcPr calcId="191028" fullCalcOnLoad="1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<x:sst xmlns:x="http://schemas.openxmlformats.org/spreadsheetml/2006/main" count="62" uniqueCount="59">
  <x:si>
    <x:t>注　文　書</x:t>
    <x:phoneticPr fontId="3"/>
  </x:si>
  <x:si>
    <x:t>株式会社ブリンクグループ</x:t>
    <x:phoneticPr fontId="4"/>
  </x:si>
  <x:si>
    <x:t>御中</x:t>
    <x:phoneticPr fontId="3"/>
  </x:si>
  <x:si>
    <x:t>発注日</x:t>
    <x:phoneticPr fontId="3"/>
  </x:si>
  <x:si>
    <x:t xml:space="preserve"> 件名：システム開発支援</x:t>
    <x:rPh sb="8" eb="10">
      <x:t>カイハツ</x:t>
    </x:rPh>
    <x:phoneticPr fontId="3"/>
  </x:si>
  <x:si>
    <x:t>株式会社ロンテック</x:t>
    <x:rPh sb="0" eb="4">
      <x:t>カブシキガイシャ</x:t>
    </x:rPh>
    <x:phoneticPr fontId="4"/>
  </x:si>
  <x:si>
    <x:t>人月</x:t>
    <x:rPh sb="0" eb="2">
      <x:t>ニンゲツ</x:t>
    </x:rPh>
    <x:phoneticPr fontId="4"/>
  </x:si>
  <x:si>
    <x:t>下記のとおり、発注致します。</x:t>
    <x:phoneticPr fontId="3"/>
  </x:si>
  <x:si>
    <x:t>〒108-0014</x:t>
    <x:phoneticPr fontId="4"/>
  </x:si>
  <x:si>
    <x:t>式</x:t>
    <x:rPh sb="0" eb="1">
      <x:t>シキ</x:t>
    </x:rPh>
    <x:phoneticPr fontId="4"/>
  </x:si>
  <x:si>
    <x:t>東京都港区芝4-9-1</x:t>
    <x:rPh sb="0" eb="3">
      <x:t>トウキョウト</x:t>
    </x:rPh>
    <x:rPh sb="3" eb="4">
      <x:t>ミナト</x:t>
    </x:rPh>
    <x:rPh sb="4" eb="5">
      <x:t>ク</x:t>
    </x:rPh>
    <x:rPh sb="5" eb="6">
      <x:t>シバ</x:t>
    </x:rPh>
    <x:phoneticPr fontId="4"/>
  </x:si>
  <x:si>
    <x:t>時間</x:t>
    <x:rPh sb="0" eb="2">
      <x:t>ジカン</x:t>
    </x:rPh>
    <x:phoneticPr fontId="4"/>
  </x:si>
  <x:si>
    <x:t>アヴェ二ュ一芝四丁目ビル7階</x:t>
    <x:phoneticPr fontId="4"/>
  </x:si>
  <x:si>
    <x:t>日</x:t>
    <x:rPh sb="0" eb="1">
      <x:t>ニチ</x:t>
    </x:rPh>
    <x:phoneticPr fontId="4"/>
  </x:si>
  <x:si>
    <x:t>検収期限：</x:t>
    <x:rPh sb="0" eb="2">
      <x:t>ケンシュウ</x:t>
    </x:rPh>
    <x:rPh sb="2" eb="4">
      <x:t>キゲン</x:t>
    </x:rPh>
    <x:phoneticPr fontId="4"/>
  </x:si>
  <x:si>
    <x:t>当月分を当月月末検収とする</x:t>
    <x:rPh sb="0" eb="3">
      <x:t>トウゲツブン</x:t>
    </x:rPh>
    <x:rPh sb="4" eb="6">
      <x:t>トウゲツ</x:t>
    </x:rPh>
    <x:rPh sb="6" eb="8">
      <x:t>ゲツマツ</x:t>
    </x:rPh>
    <x:rPh sb="8" eb="10">
      <x:t>ケンシュウ</x:t>
    </x:rPh>
    <x:phoneticPr fontId="4"/>
  </x:si>
  <x:si>
    <x:t>TEL：</x:t>
    <x:phoneticPr fontId="4"/>
  </x:si>
  <x:si>
    <x:t>03-6809-4505</x:t>
    <x:phoneticPr fontId="4"/>
  </x:si>
  <x:si>
    <x:t>ヶ月</x:t>
    <x:rPh sb="1" eb="2">
      <x:t>ゲツ</x:t>
    </x:rPh>
    <x:phoneticPr fontId="4"/>
  </x:si>
  <x:si>
    <x:t>検収完了後翌々月１５日現金支払い
※銀行休日の場合、翌営業日支払とする</x:t>
    <x:rPh sb="0" eb="2">
      <x:t>ケンシュウ</x:t>
    </x:rPh>
    <x:rPh sb="2" eb="4">
      <x:t>カンリョウ</x:t>
    </x:rPh>
    <x:rPh sb="4" eb="5">
      <x:t>ゴ</x:t>
    </x:rPh>
    <x:rPh sb="5" eb="7">
      <x:t>ヨクヨク</x:t>
    </x:rPh>
    <x:rPh sb="7" eb="8">
      <x:t>ツキ</x:t>
    </x:rPh>
    <x:rPh sb="10" eb="11">
      <x:t>ニチ</x:t>
    </x:rPh>
    <x:rPh sb="11" eb="13">
      <x:t>ゲンキン</x:t>
    </x:rPh>
    <x:rPh sb="13" eb="15">
      <x:t>シハラ</x:t>
    </x:rPh>
    <x:rPh sb="18" eb="20">
      <x:t>ギンコウ</x:t>
    </x:rPh>
    <x:rPh sb="20" eb="22">
      <x:t>キュウジツ</x:t>
    </x:rPh>
    <x:rPh sb="23" eb="25">
      <x:t>バアイ</x:t>
    </x:rPh>
    <x:rPh sb="26" eb="27">
      <x:t>ヨク</x:t>
    </x:rPh>
    <x:rPh sb="27" eb="30">
      <x:t>エイギョウビ</x:t>
    </x:rPh>
    <x:rPh sb="30" eb="32">
      <x:t>シハライ</x:t>
    </x:rPh>
    <x:phoneticPr fontId="4"/>
  </x:si>
  <x:si>
    <x:t>FAX：</x:t>
    <x:phoneticPr fontId="4"/>
  </x:si>
  <x:si>
    <x:t>03-6809-4506</x:t>
    <x:phoneticPr fontId="4"/>
  </x:si>
  <x:si>
    <x:t>支払条件：</x:t>
    <x:rPh sb="0" eb="4">
      <x:t>シハライジョウケン</x:t>
    </x:rPh>
    <x:phoneticPr fontId="4"/>
  </x:si>
  <x:si>
    <x:t>担当：</x:t>
    <x:rPh sb="0" eb="2">
      <x:t>タントウ</x:t>
    </x:rPh>
    <x:phoneticPr fontId="4"/>
  </x:si>
  <x:si>
    <x:t>鄒　樹軍</x:t>
    <x:rPh sb="0" eb="1">
      <x:t>スウ</x:t>
    </x:rPh>
    <x:rPh sb="2" eb="3">
      <x:t>ジュ</x:t>
    </x:rPh>
    <x:rPh sb="3" eb="4">
      <x:t>グン</x:t>
    </x:rPh>
    <x:phoneticPr fontId="4"/>
  </x:si>
  <x:si>
    <x:t>合計金額</x:t>
    <x:rPh sb="0" eb="2">
      <x:t>ゴウケイ</x:t>
    </x:rPh>
    <x:rPh sb="2" eb="4">
      <x:t>キンガク</x:t>
    </x:rPh>
    <x:phoneticPr fontId="4"/>
  </x:si>
  <x:si>
    <x:t>（税込）</x:t>
    <x:rPh sb="1" eb="3">
      <x:t>ゼイコ</x:t>
    </x:rPh>
    <x:phoneticPr fontId="4"/>
  </x:si>
  <x:si>
    <x:t>注文条件等</x:t>
    <x:rPh sb="0" eb="2">
      <x:t>チュウモン</x:t>
    </x:rPh>
    <x:rPh sb="2" eb="4">
      <x:t>ジョウケン</x:t>
    </x:rPh>
    <x:rPh sb="4" eb="5">
      <x:t>ナド</x:t>
    </x:rPh>
    <x:phoneticPr fontId="4"/>
  </x:si>
  <x:si>
    <x:t>数量</x:t>
    <x:rPh sb="0" eb="2">
      <x:t>スウリョウ</x:t>
    </x:rPh>
    <x:phoneticPr fontId="4"/>
  </x:si>
  <x:si>
    <x:t>単価</x:t>
    <x:rPh sb="0" eb="2">
      <x:t>タンカ</x:t>
    </x:rPh>
    <x:phoneticPr fontId="4"/>
  </x:si>
  <x:si>
    <x:t>金額</x:t>
    <x:rPh sb="0" eb="2">
      <x:t>キンガク</x:t>
    </x:rPh>
    <x:phoneticPr fontId="4"/>
  </x:si>
  <x:si>
    <x:t>期間</x:t>
    <x:phoneticPr fontId="4"/>
  </x:si>
  <x:si>
    <x:t>～</x:t>
    <x:phoneticPr fontId="4"/>
  </x:si>
  <x:si>
    <x:t>業務内容　</x:t>
    <x:rPh sb="0" eb="2">
      <x:t>ギョウム</x:t>
    </x:rPh>
    <x:rPh sb="2" eb="4">
      <x:t>ナイヨウ</x:t>
    </x:rPh>
    <x:phoneticPr fontId="4"/>
  </x:si>
  <x:si>
    <x:t>システム開発支援</x:t>
    <x:rPh sb="4" eb="6">
      <x:t>カイハツ</x:t>
    </x:rPh>
    <x:rPh sb="6" eb="8">
      <x:t>シエン</x:t>
    </x:rPh>
    <x:phoneticPr fontId="3"/>
  </x:si>
  <x:si>
    <x:t>工程範囲</x:t>
    <x:rPh sb="0" eb="2">
      <x:t>コウテイ</x:t>
    </x:rPh>
    <x:rPh sb="2" eb="4">
      <x:t>ハンイ</x:t>
    </x:rPh>
    <x:phoneticPr fontId="4"/>
  </x:si>
  <x:si>
    <x:t>上記業務、それに伴う附帯作業</x:t>
    <x:phoneticPr fontId="4"/>
  </x:si>
  <x:si>
    <x:t>契約形態</x:t>
    <x:rPh sb="0" eb="2">
      <x:t>ケイヤク</x:t>
    </x:rPh>
    <x:rPh sb="2" eb="4">
      <x:t>ケイタイ</x:t>
    </x:rPh>
    <x:phoneticPr fontId="4"/>
  </x:si>
  <x:si>
    <x:t>業務委託　SES</x:t>
    <x:phoneticPr fontId="4"/>
  </x:si>
  <x:si>
    <x:t>作業場所</x:t>
    <x:rPh sb="0" eb="2">
      <x:t>サギョウ</x:t>
    </x:rPh>
    <x:rPh sb="2" eb="4">
      <x:t>バショ</x:t>
    </x:rPh>
    <x:phoneticPr fontId="4"/>
  </x:si>
  <x:si>
    <x:t>(株)ロンテック指定場所</x:t>
    <x:phoneticPr fontId="4"/>
  </x:si>
  <x:si>
    <x:t>技術者</x:t>
    <x:rPh sb="0" eb="3">
      <x:t>ギジュツシャ</x:t>
    </x:rPh>
    <x:phoneticPr fontId="4"/>
  </x:si>
  <x:si>
    <x:t>野口　麻美</x:t>
    <x:phoneticPr fontId="3"/>
  </x:si>
  <x:si>
    <x:t>基本時間　160h～180ｈ</x:t>
    <x:rPh sb="0" eb="2">
      <x:t>キホン</x:t>
    </x:rPh>
    <x:rPh sb="2" eb="4">
      <x:t>ジカン</x:t>
    </x:rPh>
    <x:phoneticPr fontId="4"/>
  </x:si>
  <x:si>
    <x:t>超過単価（180h超過分）※10円未満切捨</x:t>
    <x:rPh sb="0" eb="2">
      <x:t>チョウカ</x:t>
    </x:rPh>
    <x:rPh sb="2" eb="4">
      <x:t>タンカ</x:t>
    </x:rPh>
    <x:rPh sb="9" eb="11">
      <x:t>チョウカ</x:t>
    </x:rPh>
    <x:rPh sb="11" eb="12">
      <x:t>ブン</x:t>
    </x:rPh>
    <x:phoneticPr fontId="4"/>
  </x:si>
  <x:si>
    <x:t>控除単価（160h不足分）※10円未満切捨</x:t>
    <x:rPh sb="0" eb="2">
      <x:t>コウジョ</x:t>
    </x:rPh>
    <x:rPh sb="2" eb="4">
      <x:t>タンカ</x:t>
    </x:rPh>
    <x:rPh sb="9" eb="11">
      <x:t>フソク</x:t>
    </x:rPh>
    <x:rPh sb="11" eb="12">
      <x:t>ブン</x:t>
    </x:rPh>
    <x:phoneticPr fontId="4"/>
  </x:si>
  <x:si>
    <x:t>※過不足の場合は別途調整、下限時間：営業日20日未満の場合は営業日×8時間となります。</x:t>
    <x:rPh sb="13" eb="15">
      <x:t>カゲン</x:t>
    </x:rPh>
    <x:rPh sb="15" eb="17">
      <x:t>ジカン</x:t>
    </x:rPh>
    <x:rPh sb="18" eb="21">
      <x:t>エイギョウビ</x:t>
    </x:rPh>
    <x:rPh sb="23" eb="24">
      <x:t>ニチ</x:t>
    </x:rPh>
    <x:rPh sb="24" eb="26">
      <x:t>ミマン</x:t>
    </x:rPh>
    <x:rPh sb="27" eb="29">
      <x:t>バアイ</x:t>
    </x:rPh>
    <x:rPh sb="30" eb="33">
      <x:t>エイギョウビ</x:t>
    </x:rPh>
    <x:rPh sb="35" eb="37">
      <x:t>ジカン</x:t>
    </x:rPh>
    <x:phoneticPr fontId="3"/>
  </x:si>
  <x:si>
    <x:t>旅費交通費</x:t>
    <x:rPh sb="0" eb="2">
      <x:t>リョヒ</x:t>
    </x:rPh>
    <x:rPh sb="2" eb="5">
      <x:t>コウツウヒ</x:t>
    </x:rPh>
    <x:phoneticPr fontId="4"/>
  </x:si>
  <x:si>
    <x:t>特に指定のない限り委託料金に含めるものとする</x:t>
    <x:phoneticPr fontId="4"/>
  </x:si>
  <x:si>
    <x:t>納品物</x:t>
  </x:si>
  <x:si>
    <x:t>稼働報告
稼働実施報告書を毎月最終営業日までにご連絡ください</x:t>
    <x:rPh sb="7" eb="9">
      <x:t>ジッシ</x:t>
    </x:rPh>
    <x:rPh sb="11" eb="12">
      <x:t>ショ</x:t>
    </x:rPh>
    <x:rPh sb="15" eb="17">
      <x:t>サイシュウ</x:t>
    </x:rPh>
    <x:rPh sb="17" eb="20">
      <x:t>エイギョウビ</x:t>
    </x:rPh>
    <x:phoneticPr fontId="3"/>
  </x:si>
  <x:si>
    <x:t>弊社責任者</x:t>
    <x:rPh sb="0" eb="2">
      <x:t>ヘイシャ</x:t>
    </x:rPh>
    <x:rPh sb="2" eb="5">
      <x:t>セキニンシャ</x:t>
    </x:rPh>
    <x:phoneticPr fontId="4"/>
  </x:si>
  <x:si>
    <x:t>鄒　樹軍</x:t>
    <x:rPh sb="0" eb="1">
      <x:t>スウ</x:t>
    </x:rPh>
    <x:rPh sb="2" eb="3">
      <x:t>ジュ</x:t>
    </x:rPh>
    <x:rPh sb="3" eb="4">
      <x:t>グン</x:t>
    </x:rPh>
    <x:phoneticPr fontId="3"/>
  </x:si>
  <x:si>
    <x:t>その他</x:t>
    <x:phoneticPr fontId="4"/>
  </x:si>
  <x:si>
    <x:t>上記以外は、両者協議の上決定する</x:t>
    <x:phoneticPr fontId="4"/>
  </x:si>
  <x:si>
    <x:t>小計</x:t>
    <x:rPh sb="0" eb="2">
      <x:t>ショウケイ</x:t>
    </x:rPh>
    <x:phoneticPr fontId="4"/>
  </x:si>
  <x:si>
    <x:t>消費税(10%)</x:t>
    <x:rPh sb="0" eb="3">
      <x:t>ショウヒゼイ</x:t>
    </x:rPh>
    <x:phoneticPr fontId="4"/>
  </x:si>
  <x:si>
    <x:t>合計</x:t>
    <x:rPh sb="0" eb="2">
      <x:t>ゴウケイ</x:t>
    </x:rPh>
    <x:phoneticPr fontId="4"/>
  </x:si>
  <x:si>
    <x:t>備考</x:t>
    <x:rPh sb="0" eb="2">
      <x:t>ビコウ</x:t>
    </x:rPh>
    <x:phoneticPr fontId="4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</x:si>
</x:sst>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5">
    <x:numFmt numFmtId="6" formatCode="&quot;¥&quot;#,##0;[Red]&quot;¥&quot;\-#,##0"/>
    <x:numFmt numFmtId="176" formatCode="[$-F800]dddd\,\ mmmm\ dd\,\ yyyy"/>
    <x:numFmt numFmtId="177" formatCode="#,##0;[Red]\-#,##0&quot;（税込）&quot;"/>
    <x:numFmt numFmtId="178" formatCode="m/d/yy"/>
    <x:numFmt numFmtId="179" formatCode="yyyy&quot;年&quot;m&quot;月&quot;d&quot;日&quot;"/>
  </x:numFmts>
  <x:fonts count="22">
    <x:font>
      <x:sz val="11"/>
      <x:color theme="1"/>
      <x:name val="游ゴシック"/>
      <x:family val="2"/>
      <x:charset val="128"/>
      <x:scheme val="minor"/>
    </x:font>
    <x:font>
      <x:sz val="11"/>
      <x:color theme="1"/>
      <x:name val="游ゴシック"/>
      <x:family val="2"/>
      <x:charset val="128"/>
      <x:scheme val="minor"/>
    </x:font>
    <x:font>
      <x:sz val="18"/>
      <x:color theme="1"/>
      <x:name val="游ゴシック"/>
      <x:family val="3"/>
      <x:charset val="128"/>
      <x:scheme val="minor"/>
    </x:font>
    <x:font>
      <x:sz val="6"/>
      <x:name val="游ゴシック"/>
      <x:family val="2"/>
      <x:charset val="128"/>
      <x:scheme val="minor"/>
    </x:font>
    <x:font>
      <x:sz val="6"/>
      <x:name val="ＭＳ Ｐゴシック"/>
      <x:family val="3"/>
      <x:charset val="128"/>
    </x:font>
    <x:font>
      <x:sz val="16"/>
      <x:color theme="1"/>
      <x:name val="游ゴシック"/>
      <x:family val="3"/>
      <x:charset val="128"/>
      <x:scheme val="minor"/>
    </x:font>
    <x:font>
      <x:sz val="14"/>
      <x:color theme="1"/>
      <x:name val="游ゴシック"/>
      <x:family val="3"/>
      <x:charset val="128"/>
      <x:scheme val="minor"/>
    </x:font>
    <x:font>
      <x:sz val="12"/>
      <x:color theme="1"/>
      <x:name val="游ゴシック"/>
      <x:family val="2"/>
      <x:charset val="128"/>
      <x:scheme val="minor"/>
    </x:font>
    <x:font>
      <x:sz val="12"/>
      <x:color theme="1"/>
      <x:name val="游ゴシック"/>
      <x:family val="3"/>
      <x:charset val="128"/>
      <x:scheme val="minor"/>
    </x:font>
    <x:font>
      <x:b/>
      <x:sz val="14"/>
      <x:color theme="1"/>
      <x:name val="游ゴシック"/>
      <x:family val="3"/>
      <x:charset val="128"/>
      <x:scheme val="minor"/>
    </x:font>
    <x:font>
      <x:sz val="11"/>
      <x:color theme="1"/>
      <x:name val="游ゴシック"/>
      <x:family val="3"/>
      <x:charset val="128"/>
      <x:scheme val="minor"/>
    </x:font>
    <x:font>
      <x:sz val="10"/>
      <x:color theme="1"/>
      <x:name val="游ゴシック"/>
      <x:family val="3"/>
      <x:charset val="128"/>
      <x:scheme val="minor"/>
    </x:font>
    <x:font>
      <x:b/>
      <x:sz val="12"/>
      <x:color theme="1"/>
      <x:name val="游ゴシック"/>
      <x:family val="3"/>
      <x:charset val="128"/>
      <x:scheme val="minor"/>
    </x:font>
    <x:font>
      <x:sz val="9"/>
      <x:color theme="1"/>
      <x:name val="游ゴシック"/>
      <x:family val="3"/>
      <x:charset val="128"/>
      <x:scheme val="minor"/>
    </x:font>
    <x:font>
      <x:b/>
      <x:sz val="11"/>
      <x:color theme="1"/>
      <x:name val="游ゴシック"/>
      <x:family val="3"/>
      <x:charset val="128"/>
      <x:scheme val="minor"/>
    </x:font>
    <x:font>
      <x:u/>
      <x:sz val="11"/>
      <x:color theme="10"/>
      <x:name val="游ゴシック"/>
      <x:family val="3"/>
      <x:charset val="128"/>
      <x:scheme val="minor"/>
    </x:font>
    <x:font>
      <x:sz val="11"/>
      <x:name val="游ゴシック"/>
      <x:family val="3"/>
      <x:charset val="128"/>
      <x:scheme val="minor"/>
    </x:font>
    <x:font>
      <x:b/>
      <x:sz val="14"/>
      <x:name val="游ゴシック"/>
      <x:family val="3"/>
      <x:charset val="128"/>
      <x:scheme val="minor"/>
    </x:font>
    <x:font>
      <x:b/>
      <x:sz val="10"/>
      <x:color theme="1"/>
      <x:name val="游ゴシック"/>
      <x:family val="3"/>
      <x:charset val="128"/>
      <x:scheme val="minor"/>
    </x:font>
    <x:font>
      <x:sz val="10"/>
      <x:name val="游ゴシック"/>
      <x:family val="3"/>
      <x:charset val="128"/>
      <x:scheme val="minor"/>
    </x:font>
    <x:font>
      <x:sz val="9"/>
      <x:name val="游ゴシック"/>
      <x:family val="3"/>
      <x:charset val="128"/>
      <x:scheme val="minor"/>
    </x:font>
    <x:font>
      <x:sz val="8"/>
      <x:color theme="1"/>
      <x:name val="游ゴシック"/>
      <x:family val="3"/>
      <x:charset val="128"/>
      <x:scheme val="minor"/>
    </x:font>
  </x:fonts>
  <x:fills count="2">
    <x:fill>
      <x:patternFill patternType="none"/>
    </x:fill>
    <x:fill>
      <x:patternFill patternType="gray125"/>
    </x:fill>
  </x:fills>
  <x:borders count="13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/>
      <x:right/>
      <x:top/>
      <x:bottom style="double">
        <x:color auto="1"/>
      </x:bottom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 style="thin">
        <x:color auto="1"/>
      </x:left>
      <x:right/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auto="1"/>
      </x:bottom>
      <x:diagonal/>
    </x:border>
  </x:borders>
  <x:cellStyleXfs count="5">
    <x:xf numFmtId="0" fontId="0" fillId="0" borderId="0">
      <x:alignment vertical="center"/>
    </x:xf>
    <x:xf numFmtId="38" fontId="1" fillId="0" borderId="0" applyFont="0" applyFill="0" applyBorder="0" applyAlignment="0" applyProtection="0">
      <x:alignment vertical="center"/>
    </x:xf>
    <x:xf numFmtId="6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</x:cellStyleXfs>
  <x:cellXfs count="103">
    <x:xf numFmtId="0" fontId="0" fillId="0" borderId="0" xfId="0">
      <x:alignment vertical="center"/>
    </x:xf>
    <x:xf numFmtId="0" fontId="0" fillId="0" borderId="0" xfId="0" applyProtection="1">
      <x:alignment vertical="center"/>
      <x:protection locked="0"/>
    </x:xf>
    <x:xf numFmtId="0" fontId="8" fillId="0" borderId="0" xfId="0" applyFont="1" applyProtection="1">
      <x:alignment vertical="center"/>
      <x:protection locked="0"/>
    </x:xf>
    <x:xf numFmtId="9" fontId="10" fillId="0" borderId="0" xfId="3" applyFont="1">
      <x:alignment vertical="center"/>
    </x:xf>
    <x:xf numFmtId="0" fontId="8" fillId="0" borderId="0" xfId="0" applyFont="1" applyAlignment="1" applyProtection="1">
      <x:alignment horizontal="right" vertical="center"/>
      <x:protection locked="0"/>
    </x:xf>
    <x:xf numFmtId="0" fontId="11" fillId="0" borderId="4" xfId="0" applyFont="1" applyBorder="1" applyProtection="1">
      <x:alignment vertical="center"/>
      <x:protection locked="0"/>
    </x:xf>
    <x:xf numFmtId="31" fontId="11" fillId="0" borderId="5" xfId="0" applyNumberFormat="1" applyFont="1" applyBorder="1" applyProtection="1">
      <x:alignment vertical="center"/>
      <x:protection locked="0"/>
    </x:xf>
    <x:xf numFmtId="0" fontId="11" fillId="0" borderId="5" xfId="0" applyFont="1" applyBorder="1" applyAlignment="1" applyProtection="1">
      <x:alignment horizontal="center" vertical="center"/>
      <x:protection locked="0"/>
    </x:xf>
    <x:xf numFmtId="0" fontId="0" fillId="0" borderId="4" xfId="0" applyBorder="1" applyAlignment="1" applyProtection="1">
      <x:alignment horizontal="center" vertical="center"/>
      <x:protection locked="0"/>
    </x:xf>
    <x:xf numFmtId="0" fontId="0" fillId="0" borderId="6" xfId="0" applyBorder="1" applyAlignment="1">
      <x:alignment horizontal="center" vertical="center"/>
    </x:xf>
    <x:xf numFmtId="0" fontId="11" fillId="0" borderId="5" xfId="0" applyFont="1" applyBorder="1" applyProtection="1">
      <x:alignment vertical="center"/>
      <x:protection locked="0"/>
    </x:xf>
    <x:xf numFmtId="0" fontId="11" fillId="0" borderId="6" xfId="0" applyFont="1" applyBorder="1" applyProtection="1">
      <x:alignment vertical="center"/>
      <x:protection locked="0"/>
    </x:xf>
    <x:xf numFmtId="0" fontId="15" fillId="0" borderId="0" xfId="4" applyProtection="1">
      <x:alignment vertical="center"/>
      <x:protection locked="0"/>
    </x:xf>
    <x:xf numFmtId="0" fontId="11" fillId="0" borderId="5" xfId="0" applyFont="1" applyBorder="1" applyAlignment="1" applyProtection="1">
      <x:alignment horizontal="left" vertical="center"/>
      <x:protection locked="0"/>
    </x:xf>
    <x:xf numFmtId="0" fontId="11" fillId="0" borderId="6" xfId="0" applyFont="1" applyBorder="1" applyAlignment="1" applyProtection="1">
      <x:alignment horizontal="left" vertical="center"/>
      <x:protection locked="0"/>
    </x:xf>
    <x:xf numFmtId="0" fontId="19" fillId="0" borderId="4" xfId="0" applyFont="1" applyBorder="1" applyProtection="1">
      <x:alignment vertical="center"/>
      <x:protection locked="0"/>
    </x:xf>
    <x:xf numFmtId="0" fontId="19" fillId="0" borderId="5" xfId="0" applyFont="1" applyBorder="1" applyProtection="1">
      <x:alignment vertical="center"/>
      <x:protection locked="0"/>
    </x:xf>
    <x:xf numFmtId="0" fontId="20" fillId="0" borderId="5" xfId="0" applyFont="1" applyBorder="1" applyProtection="1">
      <x:alignment vertical="center"/>
      <x:protection locked="0"/>
    </x:xf>
    <x:xf numFmtId="38" fontId="0" fillId="0" borderId="4" xfId="1" applyFont="1" applyBorder="1" applyAlignment="1" applyProtection="1">
      <x:alignment horizontal="right" vertical="center"/>
      <x:protection locked="0"/>
    </x:xf>
    <x:xf numFmtId="38" fontId="0" fillId="0" borderId="5" xfId="1" applyFont="1" applyBorder="1" applyAlignment="1" applyProtection="1">
      <x:alignment horizontal="right" vertical="center"/>
      <x:protection locked="0"/>
    </x:xf>
    <x:xf numFmtId="38" fontId="0" fillId="0" borderId="6" xfId="1" applyFont="1" applyBorder="1" applyAlignment="1" applyProtection="1">
      <x:alignment horizontal="right" vertical="center"/>
      <x:protection locked="0"/>
    </x:xf>
    <x:xf numFmtId="6" fontId="0" fillId="0" borderId="4" xfId="2" applyFont="1" applyBorder="1" applyAlignment="1" applyProtection="1">
      <x:alignment horizontal="right" vertical="center"/>
    </x:xf>
    <x:xf numFmtId="6" fontId="0" fillId="0" borderId="5" xfId="2" applyFont="1" applyBorder="1" applyAlignment="1" applyProtection="1">
      <x:alignment horizontal="right" vertical="center"/>
    </x:xf>
    <x:xf numFmtId="6" fontId="0" fillId="0" borderId="6" xfId="2" applyFont="1" applyBorder="1" applyAlignment="1" applyProtection="1">
      <x:alignment horizontal="right" vertical="center"/>
    </x:xf>
    <x:xf numFmtId="0" fontId="13" fillId="0" borderId="5" xfId="0" applyFont="1" applyBorder="1" applyProtection="1">
      <x:alignment vertical="center"/>
      <x:protection locked="0"/>
    </x:xf>
    <x:xf numFmtId="6" fontId="0" fillId="0" borderId="4" xfId="2" applyFont="1" applyBorder="1" applyAlignment="1" applyProtection="1">
      <x:alignment horizontal="right" vertical="center"/>
    </x:xf>
    <x:xf numFmtId="6" fontId="0" fillId="0" borderId="5" xfId="2" applyFont="1" applyBorder="1" applyAlignment="1" applyProtection="1">
      <x:alignment horizontal="right" vertical="center"/>
    </x:xf>
    <x:xf numFmtId="6" fontId="0" fillId="0" borderId="6" xfId="2" applyFont="1" applyBorder="1" applyAlignment="1" applyProtection="1">
      <x:alignment horizontal="right" vertical="center"/>
    </x:xf>
    <x:xf numFmtId="0" fontId="11" fillId="0" borderId="4" xfId="0" applyFont="1" applyBorder="1" applyAlignment="1" applyProtection="1">
      <x:alignment horizontal="left" vertical="center"/>
      <x:protection locked="0"/>
    </x:xf>
    <x:xf numFmtId="0" fontId="11" fillId="0" borderId="5" xfId="0" applyFont="1" applyBorder="1" applyAlignment="1" applyProtection="1">
      <x:alignment horizontal="left" vertical="center"/>
      <x:protection locked="0"/>
    </x:xf>
    <x:xf numFmtId="38" fontId="0" fillId="0" borderId="4" xfId="1" applyFont="1" applyBorder="1" applyAlignment="1" applyProtection="1">
      <x:alignment horizontal="right" vertical="center"/>
      <x:protection locked="0"/>
    </x:xf>
    <x:xf numFmtId="38" fontId="0" fillId="0" borderId="5" xfId="1" applyFont="1" applyBorder="1" applyAlignment="1" applyProtection="1">
      <x:alignment horizontal="right" vertical="center"/>
      <x:protection locked="0"/>
    </x:xf>
    <x:xf numFmtId="38" fontId="0" fillId="0" borderId="6" xfId="1" applyFont="1" applyBorder="1" applyAlignment="1" applyProtection="1">
      <x:alignment horizontal="right" vertical="center"/>
      <x:protection locked="0"/>
    </x:xf>
    <x:xf numFmtId="6" fontId="0" fillId="0" borderId="7" xfId="2" applyFont="1" applyBorder="1" applyAlignment="1" applyProtection="1">
      <x:alignment horizontal="right" vertical="center"/>
    </x:xf>
    <x:xf numFmtId="31" fontId="11" fillId="0" borderId="5" xfId="0" applyNumberFormat="1" applyFont="1" applyBorder="1" applyAlignment="1" applyProtection="1">
      <x:alignment horizontal="center" vertical="center"/>
      <x:protection locked="0"/>
    </x:xf>
    <x:xf numFmtId="31" fontId="11" fillId="0" borderId="5" xfId="0" applyNumberFormat="1" applyFont="1" applyBorder="1" applyAlignment="1" applyProtection="1">
      <x:alignment horizontal="left" vertical="center"/>
      <x:protection locked="0"/>
    </x:xf>
    <x:xf numFmtId="31" fontId="11" fillId="0" borderId="6" xfId="0" applyNumberFormat="1" applyFont="1" applyBorder="1" applyAlignment="1" applyProtection="1">
      <x:alignment horizontal="left" vertical="center"/>
      <x:protection locked="0"/>
    </x:xf>
    <x:xf numFmtId="0" fontId="21" fillId="0" borderId="4" xfId="0" applyFont="1" applyBorder="1" applyAlignment="1" applyProtection="1">
      <x:alignment horizontal="left" vertical="center" wrapText="1"/>
      <x:protection locked="0"/>
    </x:xf>
    <x:xf numFmtId="0" fontId="21" fillId="0" borderId="5" xfId="0" applyFont="1" applyBorder="1" applyAlignment="1" applyProtection="1">
      <x:alignment horizontal="left" vertical="center" wrapText="1"/>
      <x:protection locked="0"/>
    </x:xf>
    <x:xf numFmtId="0" fontId="21" fillId="0" borderId="6" xfId="0" applyFont="1" applyBorder="1" applyAlignment="1" applyProtection="1">
      <x:alignment horizontal="left" vertical="center" wrapText="1"/>
      <x:protection locked="0"/>
    </x:xf>
    <x:xf numFmtId="0" fontId="11" fillId="0" borderId="10" xfId="0" applyFont="1" applyBorder="1" applyAlignment="1" applyProtection="1">
      <x:alignment horizontal="left" vertical="center" wrapText="1"/>
      <x:protection locked="0"/>
    </x:xf>
    <x:xf numFmtId="0" fontId="11" fillId="0" borderId="3" xfId="0" applyFont="1" applyBorder="1" applyAlignment="1" applyProtection="1">
      <x:alignment horizontal="left" vertical="center" wrapText="1"/>
      <x:protection locked="0"/>
    </x:xf>
    <x:xf numFmtId="0" fontId="11" fillId="0" borderId="8" xfId="0" applyFont="1" applyBorder="1" applyAlignment="1" applyProtection="1">
      <x:alignment horizontal="left" vertical="center" wrapText="1"/>
      <x:protection locked="0"/>
    </x:xf>
    <x:xf numFmtId="0" fontId="11" fillId="0" borderId="11" xfId="0" applyFont="1" applyBorder="1" applyAlignment="1" applyProtection="1">
      <x:alignment horizontal="left" vertical="center" wrapText="1"/>
      <x:protection locked="0"/>
    </x:xf>
    <x:xf numFmtId="0" fontId="11" fillId="0" borderId="1" xfId="0" applyFont="1" applyBorder="1" applyAlignment="1" applyProtection="1">
      <x:alignment horizontal="left" vertical="center" wrapText="1"/>
      <x:protection locked="0"/>
    </x:xf>
    <x:xf numFmtId="0" fontId="11" fillId="0" borderId="12" xfId="0" applyFont="1" applyBorder="1" applyAlignment="1" applyProtection="1">
      <x:alignment horizontal="left" vertical="center" wrapText="1"/>
      <x:protection locked="0"/>
    </x:xf>
    <x:xf numFmtId="0" fontId="12" fillId="0" borderId="4" xfId="0" applyFont="1" applyBorder="1" applyAlignment="1" applyProtection="1">
      <x:alignment horizontal="center" vertical="center"/>
      <x:protection locked="0"/>
    </x:xf>
    <x:xf numFmtId="0" fontId="12" fillId="0" borderId="5" xfId="0" applyFont="1" applyBorder="1" applyAlignment="1" applyProtection="1">
      <x:alignment horizontal="center" vertical="center"/>
      <x:protection locked="0"/>
    </x:xf>
    <x:xf numFmtId="0" fontId="12" fillId="0" borderId="6" xfId="0" applyFont="1" applyBorder="1" applyAlignment="1" applyProtection="1">
      <x:alignment horizontal="center" vertical="center"/>
      <x:protection locked="0"/>
    </x:xf>
    <x:xf numFmtId="0" fontId="12" fillId="0" borderId="7" xfId="0" applyFont="1" applyBorder="1" applyAlignment="1" applyProtection="1">
      <x:alignment horizontal="center" vertical="center"/>
      <x:protection locked="0"/>
    </x:xf>
    <x:xf numFmtId="0" fontId="9" fillId="0" borderId="2" xfId="0" applyFont="1" applyBorder="1" applyAlignment="1" applyProtection="1">
      <x:alignment horizontal="center" vertical="center"/>
      <x:protection locked="0"/>
    </x:xf>
    <x:xf numFmtId="6" fontId="9" fillId="0" borderId="2" xfId="2" applyFont="1" applyBorder="1" applyAlignment="1" applyProtection="1">
      <x:alignment horizontal="center" vertical="center"/>
    </x:xf>
    <x:xf numFmtId="177" fontId="8" fillId="0" borderId="2" xfId="1" applyNumberFormat="1" applyFont="1" applyBorder="1" applyAlignment="1" applyProtection="1">
      <x:alignment vertical="center"/>
      <x:protection locked="0"/>
    </x:xf>
    <x:xf numFmtId="0" fontId="8" fillId="0" borderId="0" xfId="0" applyFont="1" applyAlignment="1" applyProtection="1">
      <x:alignment horizontal="right" vertical="center"/>
      <x:protection locked="0"/>
    </x:xf>
    <x:xf numFmtId="0" fontId="12" fillId="0" borderId="0" xfId="0" applyFont="1" applyAlignment="1" applyProtection="1">
      <x:alignment horizontal="center" vertical="center"/>
      <x:protection locked="0"/>
    </x:xf>
    <x:xf numFmtId="0" fontId="7" fillId="0" borderId="0" xfId="0" applyFont="1" applyProtection="1">
      <x:alignment vertical="center"/>
      <x:protection locked="0"/>
    </x:xf>
    <x:xf numFmtId="0" fontId="8" fillId="0" borderId="0" xfId="0" applyFont="1" applyProtection="1">
      <x:alignment vertical="center"/>
      <x:protection locked="0"/>
    </x:xf>
    <x:xf numFmtId="0" fontId="17" fillId="0" borderId="2" xfId="0" applyFont="1" applyBorder="1" applyAlignment="1" applyProtection="1">
      <x:alignment horizontal="left" vertical="center"/>
      <x:protection locked="0"/>
    </x:xf>
    <x:xf numFmtId="0" fontId="11" fillId="0" borderId="0" xfId="0" applyFont="1" applyAlignment="1" applyProtection="1">
      <x:alignment horizontal="right" vertical="center"/>
      <x:protection locked="0"/>
    </x:xf>
    <x:xf numFmtId="0" fontId="0" fillId="0" borderId="0" xfId="0" applyAlignment="1" applyProtection="1">
      <x:alignment horizontal="right" vertical="center"/>
      <x:protection locked="0"/>
    </x:xf>
    <x:xf numFmtId="0" fontId="0" fillId="0" borderId="0" xfId="0" applyProtection="1">
      <x:alignment vertical="center"/>
      <x:protection locked="0"/>
    </x:xf>
    <x:xf numFmtId="0" fontId="11" fillId="0" borderId="0" xfId="0" applyFont="1" applyAlignment="1" applyProtection="1">
      <x:alignment horizontal="left" vertical="center"/>
      <x:protection locked="0"/>
    </x:xf>
    <x:xf numFmtId="0" fontId="8" fillId="0" borderId="0" xfId="0" applyFont="1" applyAlignment="1" applyProtection="1">
      <x:alignment horizontal="center" vertical="center"/>
      <x:protection locked="0"/>
    </x:xf>
    <x:xf numFmtId="176" fontId="8" fillId="0" borderId="0" xfId="0" applyNumberFormat="1" applyFont="1" applyAlignment="1" applyProtection="1">
      <x:alignment horizontal="left" vertical="center"/>
      <x:protection locked="0"/>
    </x:xf>
    <x:xf numFmtId="0" fontId="2" fillId="0" borderId="0" xfId="0" applyFont="1" applyAlignment="1" applyProtection="1">
      <x:alignment horizontal="center" vertical="center"/>
      <x:protection locked="0"/>
    </x:xf>
    <x:xf numFmtId="0" fontId="5" fillId="0" borderId="1" xfId="0" applyFont="1" applyBorder="1" applyAlignment="1" applyProtection="1">
      <x:alignment horizontal="center" vertical="center"/>
      <x:protection locked="0"/>
    </x:xf>
    <x:xf numFmtId="0" fontId="6" fillId="0" borderId="0" xfId="0" applyFont="1" applyAlignment="1" applyProtection="1">
      <x:alignment horizontal="left" vertical="center"/>
      <x:protection locked="0"/>
    </x:xf>
    <x:xf numFmtId="0" fontId="14" fillId="0" borderId="7" xfId="0" applyFont="1" applyBorder="1" applyAlignment="1" applyProtection="1">
      <x:alignment horizontal="center" vertical="center"/>
      <x:protection locked="0"/>
    </x:xf>
    <x:xf numFmtId="0" fontId="11" fillId="0" borderId="7" xfId="0" applyFont="1" applyBorder="1" applyAlignment="1" applyProtection="1">
      <x:alignment horizontal="left" vertical="top" wrapText="1"/>
      <x:protection locked="0"/>
    </x:xf>
    <x:xf numFmtId="0" fontId="11" fillId="0" borderId="7" xfId="0" applyFont="1" applyBorder="1" applyAlignment="1" applyProtection="1">
      <x:alignment horizontal="left" vertical="top"/>
      <x:protection locked="0"/>
    </x:xf>
    <x:xf numFmtId="0" fontId="0" fillId="0" borderId="3" xfId="0" applyBorder="1" applyAlignment="1" applyProtection="1">
      <x:alignment horizontal="left" vertical="center"/>
      <x:protection locked="0"/>
    </x:xf>
    <x:xf numFmtId="0" fontId="0" fillId="0" borderId="8" xfId="0" applyBorder="1" applyAlignment="1" applyProtection="1">
      <x:alignment horizontal="left" vertical="center"/>
      <x:protection locked="0"/>
    </x:xf>
    <x:xf numFmtId="6" fontId="0" fillId="0" borderId="4" xfId="1" applyNumberFormat="1" applyFont="1" applyBorder="1" applyAlignment="1" applyProtection="1">
      <x:alignment horizontal="right" vertical="center"/>
      <x:protection locked="0"/>
    </x:xf>
    <x:xf numFmtId="6" fontId="0" fillId="0" borderId="5" xfId="1" applyNumberFormat="1" applyFont="1" applyBorder="1" applyAlignment="1" applyProtection="1">
      <x:alignment horizontal="right" vertical="center"/>
      <x:protection locked="0"/>
    </x:xf>
    <x:xf numFmtId="6" fontId="0" fillId="0" borderId="6" xfId="1" applyNumberFormat="1" applyFont="1" applyBorder="1" applyAlignment="1" applyProtection="1">
      <x:alignment horizontal="right" vertical="center"/>
      <x:protection locked="0"/>
    </x:xf>
    <x:xf numFmtId="0" fontId="0" fillId="0" borderId="0" xfId="0" applyAlignment="1" applyProtection="1">
      <x:alignment horizontal="left" vertical="center"/>
      <x:protection locked="0"/>
    </x:xf>
    <x:xf numFmtId="0" fontId="0" fillId="0" borderId="9" xfId="0" applyBorder="1" applyAlignment="1" applyProtection="1">
      <x:alignment horizontal="left" vertical="center"/>
      <x:protection locked="0"/>
    </x:xf>
    <x:xf numFmtId="6" fontId="0" fillId="0" borderId="7" xfId="0" applyNumberFormat="1" applyBorder="1" applyAlignment="1">
      <x:alignment horizontal="right" vertical="center"/>
    </x:xf>
    <x:xf numFmtId="0" fontId="0" fillId="0" borderId="7" xfId="0" applyBorder="1" applyAlignment="1">
      <x:alignment horizontal="right" vertical="center"/>
    </x:xf>
    <x:xf numFmtId="0" fontId="18" fillId="0" borderId="7" xfId="0" applyFont="1" applyBorder="1" applyAlignment="1" applyProtection="1">
      <x:alignment horizontal="center" vertical="center"/>
      <x:protection locked="0"/>
    </x:xf>
    <x:xf numFmtId="0" fontId="13" fillId="0" borderId="5" xfId="0" applyFont="1" applyBorder="1" applyAlignment="1" applyProtection="1">
      <x:alignment vertical="center" wrapText="1"/>
      <x:protection locked="0"/>
    </x:xf>
    <x:xf numFmtId="0" fontId="13" fillId="0" borderId="6" xfId="0" applyFont="1" applyBorder="1" applyAlignment="1" applyProtection="1">
      <x:alignment vertical="center" wrapText="1"/>
      <x:protection locked="0"/>
    </x:xf>
    <x:xf numFmtId="0" fontId="19" fillId="0" borderId="5" xfId="0" applyFont="1" applyBorder="1" applyAlignment="1" applyProtection="1">
      <x:alignment horizontal="left" vertical="center" wrapText="1"/>
      <x:protection locked="0"/>
    </x:xf>
    <x:xf numFmtId="0" fontId="19" fillId="0" borderId="5" xfId="0" applyFont="1" applyBorder="1" applyAlignment="1" applyProtection="1">
      <x:alignment horizontal="left" vertical="center"/>
      <x:protection locked="0"/>
    </x:xf>
    <x:xf numFmtId="0" fontId="19" fillId="0" borderId="6" xfId="0" applyFont="1" applyBorder="1" applyAlignment="1" applyProtection="1">
      <x:alignment horizontal="left" vertical="center"/>
      <x:protection locked="0"/>
    </x:xf>
    <x:xf numFmtId="0" fontId="16" fillId="0" borderId="4" xfId="0" applyFont="1" applyFill="1" applyBorder="1" applyAlignment="1" applyProtection="1">
      <x:alignment horizontal="left" vertical="center"/>
      <x:protection locked="0"/>
    </x:xf>
    <x:xf numFmtId="0" fontId="16" fillId="0" borderId="5" xfId="0" applyFont="1" applyFill="1" applyBorder="1" applyAlignment="1" applyProtection="1">
      <x:alignment horizontal="left" vertical="center"/>
      <x:protection locked="0"/>
    </x:xf>
    <x:xf numFmtId="0" fontId="16" fillId="0" borderId="6" xfId="0" applyFont="1" applyFill="1" applyBorder="1" applyAlignment="1" applyProtection="1">
      <x:alignment horizontal="left" vertical="center"/>
      <x:protection locked="0"/>
    </x:xf>
    <x:xf numFmtId="0" fontId="0" fillId="0" borderId="4" xfId="0" applyFill="1" applyBorder="1" applyAlignment="1" applyProtection="1">
      <x:alignment horizontal="center" vertical="center"/>
      <x:protection locked="0"/>
    </x:xf>
    <x:xf numFmtId="0" fontId="0" fillId="0" borderId="6" xfId="0" applyFill="1" applyBorder="1" applyAlignment="1">
      <x:alignment horizontal="center" vertical="center"/>
    </x:xf>
    <x:xf numFmtId="38" fontId="0" fillId="0" borderId="4" xfId="1" applyFont="1" applyFill="1" applyBorder="1" applyAlignment="1" applyProtection="1">
      <x:alignment horizontal="right" vertical="center"/>
      <x:protection locked="0"/>
    </x:xf>
    <x:xf numFmtId="38" fontId="0" fillId="0" borderId="5" xfId="1" applyFont="1" applyFill="1" applyBorder="1" applyAlignment="1" applyProtection="1">
      <x:alignment horizontal="right" vertical="center"/>
      <x:protection locked="0"/>
    </x:xf>
    <x:xf numFmtId="38" fontId="0" fillId="0" borderId="6" xfId="1" applyFont="1" applyFill="1" applyBorder="1" applyAlignment="1" applyProtection="1">
      <x:alignment horizontal="right" vertical="center"/>
      <x:protection locked="0"/>
    </x:xf>
    <x:xf numFmtId="6" fontId="0" fillId="0" borderId="4" xfId="2" applyFont="1" applyFill="1" applyBorder="1" applyAlignment="1" applyProtection="1">
      <x:alignment horizontal="right" vertical="center"/>
    </x:xf>
    <x:xf numFmtId="6" fontId="0" fillId="0" borderId="5" xfId="2" applyFont="1" applyFill="1" applyBorder="1" applyAlignment="1" applyProtection="1">
      <x:alignment horizontal="right" vertical="center"/>
    </x:xf>
    <x:xf numFmtId="6" fontId="0" fillId="0" borderId="6" xfId="2" applyFont="1" applyFill="1" applyBorder="1" applyAlignment="1" applyProtection="1">
      <x:alignment horizontal="right" vertical="center"/>
    </x:xf>
    <x:xf numFmtId="0" fontId="0" fillId="0" borderId="0" xfId="0" applyFill="1">
      <x:alignment vertical="center"/>
    </x:xf>
    <x:xf numFmtId="3" fontId="16" fillId="0" borderId="4" xfId="1" applyNumberFormat="1" applyFont="1" applyFill="1" applyBorder="1" applyAlignment="1" applyProtection="1">
      <x:alignment horizontal="right" vertical="center"/>
      <x:protection locked="0"/>
    </x:xf>
    <x:xf numFmtId="3" fontId="16" fillId="0" borderId="5" xfId="1" applyNumberFormat="1" applyFont="1" applyFill="1" applyBorder="1" applyAlignment="1" applyProtection="1">
      <x:alignment horizontal="right" vertical="center"/>
      <x:protection locked="0"/>
    </x:xf>
    <x:xf numFmtId="3" fontId="16" fillId="0" borderId="6" xfId="1" applyNumberFormat="1" applyFont="1" applyFill="1" applyBorder="1" applyAlignment="1" applyProtection="1">
      <x:alignment horizontal="right" vertical="center"/>
      <x:protection locked="0"/>
    </x:xf>
    <x:xf numFmtId="178" fontId="11" fillId="0" borderId="5" applyNumberFormat="1" applyFont="1" applyBorder="1" applyAlignment="1" applyProtection="1">
      <x:alignment horizontal="center" vertical="center"/>
      <x:protection locked="0"/>
    </x:xf>
    <x:xf numFmtId="179" fontId="11" fillId="0" borderId="5" applyNumberFormat="1" applyFont="1" applyBorder="1" applyAlignment="1" applyProtection="1">
      <x:alignment horizontal="center" vertical="center"/>
      <x:protection locked="0"/>
    </x:xf>
    <x:xf numFmtId="179" fontId="11" fillId="0" borderId="5" applyNumberFormat="1" applyFont="1" applyBorder="1" applyAlignment="1" applyProtection="1">
      <x:alignment horizontal="left" vertical="center"/>
      <x:protection locked="0"/>
    </x:xf>
  </x:cellXfs>
  <x:cellStyles count="5">
    <x:cellStyle name="パーセント" xfId="3" builtinId="5"/>
    <x:cellStyle name="ハイパーリンク" xfId="4" builtinId="8"/>
    <x:cellStyle name="桁区切り" xfId="1" builtinId="6"/>
    <x:cellStyle name="通貨" xfId="2" builtinId="7"/>
    <x:cellStyle name="標準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../customXml/item3.xml" Id="rId8" /><Relationship Type="http://schemas.openxmlformats.org/officeDocument/2006/relationships/styles" Target="styles.xml" Id="rId3" /><Relationship Type="http://schemas.openxmlformats.org/officeDocument/2006/relationships/customXml" Target="../customXml/item2.xml" Id="rId7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customXml" Target="../customXml/item1.xml" Id="rId6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a16="http://schemas.microsoft.com/office/drawing/2014/main" xmlns:r="http://schemas.openxmlformats.org/officeDocument/2006/relationships" xmlns:a14="http://schemas.microsoft.com/office/drawing/2010/main" xmlns:xdr="http://schemas.openxmlformats.org/drawingml/2006/spreadsheetDrawing" xmlns:a="http://schemas.openxmlformats.org/drawingml/2006/main">
  <xdr:twoCellAnchor editAs="oneCell">
    <xdr:from>
      <xdr:col>13</xdr:col>
      <xdr:colOff>120650</xdr:colOff>
      <xdr:row>5</xdr:row>
      <xdr:rowOff>19050</xdr:rowOff>
    </xdr:from>
    <xdr:to>
      <xdr:col>15</xdr:col>
      <xdr:colOff>197106</xdr:colOff>
      <xdr:row>7</xdr:row>
      <xdr:rowOff>222506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E016B36-907B-41C0-AC67-CAF25E830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1500" y="1416050"/>
          <a:ext cx="749556" cy="7559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2E401E2-081A-447D-88A3-69ADD7519532}" mc:Ignorable="x14ac xr xr2 xr3">
  <x:sheetPr>
    <x:pageSetUpPr fitToPage="1"/>
  </x:sheetPr>
  <x:dimension ref="A1:T40"/>
  <x:sheetViews>
    <x:sheetView tabSelected="1" topLeftCell="A11" zoomScaleNormal="100" workbookViewId="0">
      <x:selection activeCell="T20" sqref="T20"/>
    </x:sheetView>
  </x:sheetViews>
  <x:sheetFormatPr defaultColWidth="5.59765625" defaultRowHeight="18"/>
  <x:cols>
    <x:col min="4" max="4" width="6.796875" customWidth="1"/>
    <x:col min="9" max="9" width="12.59765625" customWidth="1"/>
    <x:col min="10" max="10" width="4.796875" customWidth="1"/>
    <x:col min="11" max="11" width="5.09765625" customWidth="1"/>
    <x:col min="14" max="14" width="3.19921875" customWidth="1"/>
    <x:col min="17" max="17" width="3.796875" customWidth="1"/>
  </x:cols>
  <x:sheetData>
    <x:row r="1" spans="1:20" ht="28.8">
      <x:c r="A1" s="64" t="s">
        <x:v>0</x:v>
      </x:c>
      <x:c r="B1" s="64"/>
      <x:c r="C1" s="64"/>
      <x:c r="D1" s="64"/>
      <x:c r="E1" s="64"/>
      <x:c r="F1" s="64"/>
      <x:c r="G1" s="64"/>
      <x:c r="H1" s="64"/>
      <x:c r="I1" s="64"/>
      <x:c r="J1" s="64"/>
      <x:c r="K1" s="64"/>
      <x:c r="L1" s="64"/>
      <x:c r="M1" s="64"/>
      <x:c r="N1" s="64"/>
      <x:c r="O1" s="64"/>
      <x:c r="P1" s="64"/>
      <x:c r="Q1" s="64"/>
    </x:row>
    <x:row r="2" spans="1:20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spans="1:20" ht="26.4">
      <x:c r="A3" s="65" t="str">
        <x:v>【宛先会社名】</x:v>
      </x:c>
      <x:c r="B3" s="65"/>
      <x:c r="C3" s="65"/>
      <x:c r="D3" s="65"/>
      <x:c r="E3" s="65"/>
      <x:c r="F3" s="65"/>
      <x:c r="G3" s="65"/>
      <x:c r="H3" s="66" t="s">
        <x:v>2</x:v>
      </x:c>
      <x:c r="I3" s="66"/>
      <x:c r="J3" s="1"/>
      <x:c r="K3" s="1"/>
      <x:c r="L3" s="55"/>
      <x:c r="M3" s="56"/>
      <x:c r="N3" s="53"/>
      <x:c r="O3" s="53"/>
      <x:c r="P3" s="53"/>
      <x:c r="Q3" s="53"/>
    </x:row>
    <x:row r="4" spans="1:20" ht="19.8">
      <x:c r="A4" s="1"/>
      <x:c r="B4" s="56"/>
      <x:c r="C4" s="56"/>
      <x:c r="D4" s="62"/>
      <x:c r="E4" s="62"/>
      <x:c r="F4" s="62"/>
      <x:c r="G4" s="2"/>
      <x:c r="H4" s="1"/>
      <x:c r="I4" s="1"/>
      <x:c r="J4" s="1"/>
      <x:c r="K4" s="1"/>
      <x:c r="L4" s="55" t="s">
        <x:v>3</x:v>
      </x:c>
      <x:c r="M4" s="56"/>
      <x:c r="N4" s="63">
        <x:f>$C$17-1</x:f>
        <x:v>46295</x:v>
      </x:c>
      <x:c r="O4" s="63"/>
      <x:c r="P4" s="63"/>
      <x:c r="Q4" s="63"/>
    </x:row>
    <x:row r="5" spans="1:20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spans="1:20" ht="22.8" thickBot="1">
      <x:c r="A6" s="57" t="s">
        <x:v>4</x:v>
      </x:c>
      <x:c r="B6" s="57"/>
      <x:c r="C6" s="57"/>
      <x:c r="D6" s="57"/>
      <x:c r="E6" s="57"/>
      <x:c r="F6" s="57"/>
      <x:c r="G6" s="57"/>
      <x:c r="H6" s="57"/>
      <x:c r="I6" s="57"/>
      <x:c r="J6" s="1"/>
      <x:c r="K6" s="56" t="s">
        <x:v>5</x:v>
      </x:c>
      <x:c r="L6" s="56"/>
      <x:c r="M6" s="56"/>
      <x:c r="N6" s="56"/>
      <x:c r="O6" s="56"/>
      <x:c r="P6" s="56"/>
      <x:c r="Q6" s="56"/>
      <x:c r="S6" t="s">
        <x:v>6</x:v>
      </x:c>
      <x:c r="T6" s="3">
        <x:v>0.1</x:v>
      </x:c>
    </x:row>
    <x:row r="7" spans="1:20" ht="20.399999999999999" thickTop="1">
      <x:c r="A7" s="1"/>
      <x:c r="B7" s="55" t="s">
        <x:v>7</x:v>
      </x:c>
      <x:c r="C7" s="56"/>
      <x:c r="D7" s="56"/>
      <x:c r="E7" s="56"/>
      <x:c r="F7" s="56"/>
      <x:c r="G7" s="56"/>
      <x:c r="H7" s="56"/>
      <x:c r="I7" s="56"/>
      <x:c r="J7" s="56"/>
      <x:c r="K7" s="56" t="s">
        <x:v>8</x:v>
      </x:c>
      <x:c r="L7" s="56"/>
      <x:c r="M7" s="56"/>
      <x:c r="N7" s="56"/>
      <x:c r="O7" s="56"/>
      <x:c r="P7" s="56"/>
      <x:c r="Q7" s="56"/>
      <x:c r="S7" t="s">
        <x:v>9</x:v>
      </x:c>
    </x:row>
    <x:row r="8" spans="1:20" ht="19.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56" t="s">
        <x:v>10</x:v>
      </x:c>
      <x:c r="L8" s="56"/>
      <x:c r="M8" s="56"/>
      <x:c r="N8" s="56"/>
      <x:c r="O8" s="56"/>
      <x:c r="P8" s="56"/>
      <x:c r="Q8" s="56"/>
      <x:c r="S8" t="s">
        <x:v>11</x:v>
      </x:c>
    </x:row>
    <x:row r="9" spans="1:20" ht="19.8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56" t="s">
        <x:v>12</x:v>
      </x:c>
      <x:c r="L9" s="56"/>
      <x:c r="M9" s="56"/>
      <x:c r="N9" s="56"/>
      <x:c r="O9" s="56"/>
      <x:c r="P9" s="56"/>
      <x:c r="Q9" s="56"/>
      <x:c r="S9" t="s">
        <x:v>13</x:v>
      </x:c>
    </x:row>
    <x:row r="10" spans="1:20">
      <x:c r="A10" s="58" t="s">
        <x:v>14</x:v>
      </x:c>
      <x:c r="B10" s="58"/>
      <x:c r="C10" s="61" t="s">
        <x:v>15</x:v>
      </x:c>
      <x:c r="D10" s="61"/>
      <x:c r="E10" s="61"/>
      <x:c r="F10" s="61"/>
      <x:c r="G10" s="61"/>
      <x:c r="H10" s="61"/>
      <x:c r="I10" s="61"/>
      <x:c r="J10" s="1"/>
      <x:c r="K10" s="59" t="s">
        <x:v>16</x:v>
      </x:c>
      <x:c r="L10" s="59"/>
      <x:c r="M10" s="60" t="s">
        <x:v>17</x:v>
      </x:c>
      <x:c r="N10" s="60"/>
      <x:c r="O10" s="60"/>
      <x:c r="P10" s="60"/>
      <x:c r="Q10" s="60"/>
      <x:c r="S10" t="s">
        <x:v>18</x:v>
      </x:c>
    </x:row>
    <x:row r="11" spans="1:20" ht="18" customHeight="1">
      <x:c r="A11" s="58"/>
      <x:c r="B11" s="58"/>
      <x:c r="C11" s="41" t="s">
        <x:v>19</x:v>
      </x:c>
      <x:c r="D11" s="41"/>
      <x:c r="E11" s="41"/>
      <x:c r="F11" s="41"/>
      <x:c r="G11" s="41"/>
      <x:c r="H11" s="41"/>
      <x:c r="I11" s="41"/>
      <x:c r="J11" s="1"/>
      <x:c r="K11" s="59" t="s">
        <x:v>20</x:v>
      </x:c>
      <x:c r="L11" s="59"/>
      <x:c r="M11" s="60" t="s">
        <x:v>21</x:v>
      </x:c>
      <x:c r="N11" s="60"/>
      <x:c r="O11" s="60"/>
      <x:c r="P11" s="60"/>
      <x:c r="Q11" s="60"/>
    </x:row>
    <x:row r="12" spans="1:20">
      <x:c r="A12" s="58" t="s">
        <x:v>22</x:v>
      </x:c>
      <x:c r="B12" s="58"/>
      <x:c r="C12" s="44"/>
      <x:c r="D12" s="44"/>
      <x:c r="E12" s="44"/>
      <x:c r="F12" s="44"/>
      <x:c r="G12" s="44"/>
      <x:c r="H12" s="44"/>
      <x:c r="I12" s="44"/>
      <x:c r="J12" s="1"/>
      <x:c r="K12" s="59" t="s">
        <x:v>23</x:v>
      </x:c>
      <x:c r="L12" s="59"/>
      <x:c r="M12" s="60" t="s">
        <x:v>24</x:v>
      </x:c>
      <x:c r="N12" s="60"/>
      <x:c r="O12" s="60"/>
      <x:c r="P12" s="60"/>
      <x:c r="Q12" s="60"/>
    </x:row>
    <x:row r="13" spans="1:20" ht="19.8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4"/>
      <x:c r="L13" s="4"/>
      <x:c r="M13" s="2"/>
      <x:c r="N13" s="2"/>
      <x:c r="O13" s="2"/>
      <x:c r="P13" s="2"/>
      <x:c r="Q13" s="2"/>
    </x:row>
    <x:row r="14" spans="1:20" ht="22.8" thickBot="1">
      <x:c r="A14" s="50" t="s">
        <x:v>25</x:v>
      </x:c>
      <x:c r="B14" s="50"/>
      <x:c r="C14" s="50"/>
      <x:c r="D14" s="51">
        <x:f>L36</x:f>
        <x:v>0</x:v>
      </x:c>
      <x:c r="E14" s="51"/>
      <x:c r="F14" s="51"/>
      <x:c r="G14" s="51"/>
      <x:c r="H14" s="52" t="s">
        <x:v>26</x:v>
      </x:c>
      <x:c r="I14" s="52"/>
      <x:c r="J14" s="53"/>
      <x:c r="K14" s="53"/>
      <x:c r="L14" s="53"/>
      <x:c r="M14" s="54"/>
      <x:c r="N14" s="54"/>
      <x:c r="O14" s="54"/>
      <x:c r="P14" s="54"/>
      <x:c r="Q14" s="54"/>
    </x:row>
    <x:row r="15" spans="1:20" ht="18.600000000000001" thickTop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spans="1:20" ht="19.8">
      <x:c r="A16" s="46" t="s">
        <x:v>27</x:v>
      </x:c>
      <x:c r="B16" s="47"/>
      <x:c r="C16" s="47"/>
      <x:c r="D16" s="47"/>
      <x:c r="E16" s="47"/>
      <x:c r="F16" s="47"/>
      <x:c r="G16" s="47"/>
      <x:c r="H16" s="47"/>
      <x:c r="I16" s="48"/>
      <x:c r="J16" s="49" t="s">
        <x:v>28</x:v>
      </x:c>
      <x:c r="K16" s="49"/>
      <x:c r="L16" s="49" t="s">
        <x:v>29</x:v>
      </x:c>
      <x:c r="M16" s="49"/>
      <x:c r="N16" s="49"/>
      <x:c r="O16" s="49" t="s">
        <x:v>30</x:v>
      </x:c>
      <x:c r="P16" s="49"/>
      <x:c r="Q16" s="49"/>
    </x:row>
    <x:row r="17" spans="1:17">
      <x:c r="A17" s="5" t="s">
        <x:v>31</x:v>
      </x:c>
      <x:c r="B17" s="6"/>
      <x:c r="C17" s="101">
        <x:v>46296</x:v>
      </x:c>
      <x:c r="D17" s="34"/>
      <x:c r="E17" s="7" t="s">
        <x:v>32</x:v>
      </x:c>
      <x:c r="F17" s="102">
        <x:f>EOMONTH(C17,0)</x:f>
        <x:v>46326</x:v>
      </x:c>
      <x:c r="G17" s="35"/>
      <x:c r="H17" s="35"/>
      <x:c r="I17" s="36"/>
      <x:c r="J17" s="8"/>
      <x:c r="K17" s="9"/>
      <x:c r="L17" s="18"/>
      <x:c r="M17" s="19"/>
      <x:c r="N17" s="20"/>
      <x:c r="O17" s="21"/>
      <x:c r="P17" s="22"/>
      <x:c r="Q17" s="23"/>
    </x:row>
    <x:row r="18" spans="1:17" ht="18.600000000000001" customHeight="1">
      <x:c r="A18" s="15" t="s">
        <x:v>33</x:v>
      </x:c>
      <x:c r="B18" s="16"/>
      <x:c r="C18" s="10" t="str">
        <x:v>【業務内容】</x:v>
      </x:c>
      <x:c r="D18" s="10"/>
      <x:c r="E18" s="10"/>
      <x:c r="F18" s="10"/>
      <x:c r="G18" s="10"/>
      <x:c r="H18" s="10"/>
      <x:c r="I18" s="11"/>
      <x:c r="J18" s="8"/>
      <x:c r="K18" s="9"/>
      <x:c r="L18" s="30"/>
      <x:c r="M18" s="31"/>
      <x:c r="N18" s="32"/>
      <x:c r="O18" s="33"/>
      <x:c r="P18" s="33"/>
      <x:c r="Q18" s="33"/>
    </x:row>
    <x:row r="19" spans="1:17" ht="18.600000000000001" customHeight="1">
      <x:c r="A19" s="5" t="s">
        <x:v>35</x:v>
      </x:c>
      <x:c r="B19" s="10"/>
      <x:c r="C19" s="10" t="str">
        <x:v>【工程範囲】</x:v>
      </x:c>
      <x:c r="D19" s="10"/>
      <x:c r="E19" s="10"/>
      <x:c r="F19" s="10"/>
      <x:c r="G19" s="10"/>
      <x:c r="H19" s="10"/>
      <x:c r="I19" s="11"/>
      <x:c r="J19" s="8"/>
      <x:c r="K19" s="9"/>
      <x:c r="L19" s="30"/>
      <x:c r="M19" s="31"/>
      <x:c r="N19" s="32"/>
      <x:c r="O19" s="33"/>
      <x:c r="P19" s="33"/>
      <x:c r="Q19" s="33"/>
    </x:row>
    <x:row r="20" spans="1:17" ht="18.600000000000001" customHeight="1">
      <x:c r="A20" s="5" t="s">
        <x:v>37</x:v>
      </x:c>
      <x:c r="B20" s="10"/>
      <x:c r="C20" s="10" t="s">
        <x:v>38</x:v>
      </x:c>
      <x:c r="D20" s="10"/>
      <x:c r="E20" s="10"/>
      <x:c r="F20" s="10"/>
      <x:c r="G20" s="10"/>
      <x:c r="H20" s="10"/>
      <x:c r="I20" s="11"/>
      <x:c r="J20" s="8"/>
      <x:c r="K20" s="9"/>
      <x:c r="L20" s="30"/>
      <x:c r="M20" s="31"/>
      <x:c r="N20" s="32"/>
      <x:c r="O20" s="33"/>
      <x:c r="P20" s="33"/>
      <x:c r="Q20" s="33"/>
    </x:row>
    <x:row r="21" spans="1:17" ht="18.600000000000001" customHeight="1">
      <x:c r="A21" s="5" t="s">
        <x:v>39</x:v>
      </x:c>
      <x:c r="B21" s="10"/>
      <x:c r="C21" s="10" t="s">
        <x:v>40</x:v>
      </x:c>
      <x:c r="D21" s="10"/>
      <x:c r="E21" s="10"/>
      <x:c r="F21" s="10"/>
      <x:c r="G21" s="10"/>
      <x:c r="H21" s="10"/>
      <x:c r="I21" s="11"/>
      <x:c r="J21" s="8"/>
      <x:c r="K21" s="9"/>
      <x:c r="L21" s="30"/>
      <x:c r="M21" s="31"/>
      <x:c r="N21" s="32"/>
      <x:c r="O21" s="33"/>
      <x:c r="P21" s="33"/>
      <x:c r="Q21" s="33"/>
    </x:row>
    <x:row r="22" spans="1:17" ht="18.600000000000001" customHeight="1">
      <x:c r="A22" s="28" t="s">
        <x:v>41</x:v>
      </x:c>
      <x:c r="B22" s="29"/>
      <x:c r="C22" s="13" t="str">
        <x:v>【技術者名】</x:v>
      </x:c>
      <x:c r="D22" s="13"/>
      <x:c r="E22" s="13"/>
      <x:c r="F22" s="13"/>
      <x:c r="G22" s="13"/>
      <x:c r="H22" s="13"/>
      <x:c r="I22" s="14"/>
      <x:c r="J22" s="8"/>
      <x:c r="K22" s="9"/>
      <x:c r="L22" s="30"/>
      <x:c r="M22" s="31"/>
      <x:c r="N22" s="32"/>
      <x:c r="O22" s="33"/>
      <x:c r="P22" s="33"/>
      <x:c r="Q22" s="33"/>
    </x:row>
    <x:row r="23" spans="1:17" s="96" customFormat="1" ht="18.600000000000001" customHeight="1">
      <x:c r="A23" s="85" t="str">
        <x:v>基本時間　【下限時間】h～【上限時間】h</x:v>
      </x:c>
      <x:c r="B23" s="86"/>
      <x:c r="C23" s="86"/>
      <x:c r="D23" s="86"/>
      <x:c r="E23" s="86"/>
      <x:c r="F23" s="86"/>
      <x:c r="G23" s="86"/>
      <x:c r="H23" s="86"/>
      <x:c r="I23" s="87"/>
      <x:c r="J23" s="88">
        <x:v>1</x:v>
      </x:c>
      <x:c r="K23" s="89" t="s">
        <x:v>6</x:v>
      </x:c>
      <x:c r="L23" s="90">
        <x:v>0</x:v>
      </x:c>
      <x:c r="M23" s="91"/>
      <x:c r="N23" s="92"/>
      <x:c r="O23" s="93">
        <x:f>J23*L23</x:f>
        <x:v>0</x:v>
      </x:c>
      <x:c r="P23" s="94"/>
      <x:c r="Q23" s="95"/>
    </x:row>
    <x:row r="24" spans="1:17" s="96" customFormat="1" ht="18.600000000000001" customHeight="1">
      <x:c r="A24" s="85" t="str">
        <x:v>超過単価（【上限時間】h超過分）※10円未満切捨</x:v>
      </x:c>
      <x:c r="B24" s="86"/>
      <x:c r="C24" s="86"/>
      <x:c r="D24" s="86"/>
      <x:c r="E24" s="86"/>
      <x:c r="F24" s="86"/>
      <x:c r="G24" s="86"/>
      <x:c r="H24" s="86"/>
      <x:c r="I24" s="87"/>
      <x:c r="J24" s="88"/>
      <x:c r="K24" s="89" t="s">
        <x:v>11</x:v>
      </x:c>
      <x:c r="L24" s="90">
        <x:f>ROUNDDOWN(L$23/$T$24,-1)</x:f>
        <x:v>0</x:v>
      </x:c>
      <x:c r="M24" s="91"/>
      <x:c r="N24" s="92"/>
      <x:c r="O24" s="93"/>
      <x:c r="P24" s="94"/>
      <x:c r="Q24" s="95"/>
      <x:c r="S24">
        <x:v>160</x:v>
      </x:c>
      <x:c r="T24">
        <x:v>180</x:v>
      </x:c>
    </x:row>
    <x:row r="25" spans="1:17" s="96" customFormat="1" ht="18.600000000000001" customHeight="1">
      <x:c r="A25" s="85" t="str">
        <x:v>控除単価（【下限時間】h不足分）※10円未満切捨</x:v>
      </x:c>
      <x:c r="B25" s="86"/>
      <x:c r="C25" s="86"/>
      <x:c r="D25" s="86"/>
      <x:c r="E25" s="86"/>
      <x:c r="F25" s="86"/>
      <x:c r="G25" s="86"/>
      <x:c r="H25" s="86"/>
      <x:c r="I25" s="87"/>
      <x:c r="J25" s="88"/>
      <x:c r="K25" s="89" t="s">
        <x:v>11</x:v>
      </x:c>
      <x:c r="L25" s="97">
        <x:f>ROUNDDOWN(-L$23/$S$24,-1)</x:f>
        <x:v>0</x:v>
      </x:c>
      <x:c r="M25" s="98"/>
      <x:c r="N25" s="99"/>
      <x:c r="O25" s="93"/>
      <x:c r="P25" s="94"/>
      <x:c r="Q25" s="95"/>
    </x:row>
    <x:row r="26" spans="1:17" ht="18.600000000000001" customHeight="1">
      <x:c r="A26" s="40" t="s">
        <x:v>46</x:v>
      </x:c>
      <x:c r="B26" s="41"/>
      <x:c r="C26" s="41"/>
      <x:c r="D26" s="41"/>
      <x:c r="E26" s="41"/>
      <x:c r="F26" s="41"/>
      <x:c r="G26" s="41"/>
      <x:c r="H26" s="41"/>
      <x:c r="I26" s="42"/>
      <x:c r="J26" s="8"/>
      <x:c r="K26" s="9"/>
      <x:c r="L26" s="30"/>
      <x:c r="M26" s="31"/>
      <x:c r="N26" s="32"/>
      <x:c r="O26" s="33"/>
      <x:c r="P26" s="33"/>
      <x:c r="Q26" s="33"/>
    </x:row>
    <x:row r="27" spans="1:17" ht="18.600000000000001" customHeight="1">
      <x:c r="A27" s="43"/>
      <x:c r="B27" s="44"/>
      <x:c r="C27" s="44"/>
      <x:c r="D27" s="44"/>
      <x:c r="E27" s="44"/>
      <x:c r="F27" s="44"/>
      <x:c r="G27" s="44"/>
      <x:c r="H27" s="44"/>
      <x:c r="I27" s="45"/>
      <x:c r="J27" s="8"/>
      <x:c r="K27" s="9"/>
      <x:c r="L27" s="30"/>
      <x:c r="M27" s="31"/>
      <x:c r="N27" s="32"/>
      <x:c r="O27" s="33"/>
      <x:c r="P27" s="33"/>
      <x:c r="Q27" s="33"/>
    </x:row>
    <x:row r="28" spans="1:17">
      <x:c r="A28" s="15"/>
      <x:c r="B28" s="17"/>
      <x:c r="C28" s="82"/>
      <x:c r="D28" s="83"/>
      <x:c r="E28" s="83"/>
      <x:c r="F28" s="83"/>
      <x:c r="G28" s="83"/>
      <x:c r="H28" s="83"/>
      <x:c r="I28" s="84"/>
      <x:c r="J28" s="8"/>
      <x:c r="K28" s="9"/>
      <x:c r="L28" s="30"/>
      <x:c r="M28" s="31"/>
      <x:c r="N28" s="32"/>
      <x:c r="O28" s="33"/>
      <x:c r="P28" s="33"/>
      <x:c r="Q28" s="33"/>
    </x:row>
    <x:row r="29" spans="1:17">
      <x:c r="A29" s="5" t="s">
        <x:v>47</x:v>
      </x:c>
      <x:c r="B29" s="10"/>
      <x:c r="C29" s="24" t="s">
        <x:v>48</x:v>
      </x:c>
      <x:c r="D29" s="10"/>
      <x:c r="E29" s="10"/>
      <x:c r="F29" s="10"/>
      <x:c r="G29" s="10"/>
      <x:c r="H29" s="10"/>
      <x:c r="I29" s="11"/>
      <x:c r="J29" s="8"/>
      <x:c r="K29" s="9"/>
      <x:c r="L29" s="30"/>
      <x:c r="M29" s="31"/>
      <x:c r="N29" s="32"/>
      <x:c r="O29" s="33"/>
      <x:c r="P29" s="33"/>
      <x:c r="Q29" s="33"/>
    </x:row>
    <x:row r="30" spans="1:17" ht="29.1" customHeight="1">
      <x:c r="A30" s="5" t="s">
        <x:v>49</x:v>
      </x:c>
      <x:c r="B30" s="10"/>
      <x:c r="C30" s="80" t="s">
        <x:v>50</x:v>
      </x:c>
      <x:c r="D30" s="80"/>
      <x:c r="E30" s="80"/>
      <x:c r="F30" s="80"/>
      <x:c r="G30" s="80"/>
      <x:c r="H30" s="80"/>
      <x:c r="I30" s="81"/>
      <x:c r="J30" s="8"/>
      <x:c r="K30" s="9"/>
      <x:c r="L30" s="30"/>
      <x:c r="M30" s="31"/>
      <x:c r="N30" s="32"/>
      <x:c r="O30" s="25"/>
      <x:c r="P30" s="26"/>
      <x:c r="Q30" s="27"/>
    </x:row>
    <x:row r="31" spans="1:17" ht="18.600000000000001" customHeight="1">
      <x:c r="A31" s="37"/>
      <x:c r="B31" s="38"/>
      <x:c r="C31" s="38"/>
      <x:c r="D31" s="38"/>
      <x:c r="E31" s="38"/>
      <x:c r="F31" s="38"/>
      <x:c r="G31" s="38"/>
      <x:c r="H31" s="38"/>
      <x:c r="I31" s="39"/>
      <x:c r="J31" s="8"/>
      <x:c r="K31" s="9"/>
      <x:c r="L31" s="30"/>
      <x:c r="M31" s="31"/>
      <x:c r="N31" s="32"/>
      <x:c r="O31" s="33"/>
      <x:c r="P31" s="33"/>
      <x:c r="Q31" s="33"/>
    </x:row>
    <x:row r="32" spans="1:17" ht="18.600000000000001" customHeight="1">
      <x:c r="A32" s="5" t="s">
        <x:v>51</x:v>
      </x:c>
      <x:c r="B32" s="10"/>
      <x:c r="C32" s="10" t="s">
        <x:v>52</x:v>
      </x:c>
      <x:c r="D32" s="10"/>
      <x:c r="E32" s="10"/>
      <x:c r="F32" s="10"/>
      <x:c r="G32" s="10"/>
      <x:c r="H32" s="10"/>
      <x:c r="I32" s="11"/>
      <x:c r="J32" s="8"/>
      <x:c r="K32" s="9"/>
      <x:c r="L32" s="30"/>
      <x:c r="M32" s="31"/>
      <x:c r="N32" s="32"/>
      <x:c r="O32" s="33"/>
      <x:c r="P32" s="33"/>
      <x:c r="Q32" s="33"/>
    </x:row>
    <x:row r="33" spans="1:20" ht="18.600000000000001" customHeight="1">
      <x:c r="A33" s="5" t="s">
        <x:v>53</x:v>
      </x:c>
      <x:c r="B33" s="10"/>
      <x:c r="C33" s="10" t="s">
        <x:v>54</x:v>
      </x:c>
      <x:c r="D33" s="10"/>
      <x:c r="E33" s="10"/>
      <x:c r="F33" s="10"/>
      <x:c r="G33" s="10"/>
      <x:c r="H33" s="10"/>
      <x:c r="I33" s="11"/>
      <x:c r="J33" s="8"/>
      <x:c r="K33" s="9"/>
      <x:c r="L33" s="30"/>
      <x:c r="M33" s="31"/>
      <x:c r="N33" s="32"/>
      <x:c r="O33" s="33"/>
      <x:c r="P33" s="33"/>
      <x:c r="Q33" s="33"/>
    </x:row>
    <x:row r="34" spans="1:20" ht="20.100000000000001" customHeight="1">
      <x:c r="A34" s="70"/>
      <x:c r="B34" s="70"/>
      <x:c r="C34" s="70"/>
      <x:c r="D34" s="70"/>
      <x:c r="E34" s="70"/>
      <x:c r="F34" s="70"/>
      <x:c r="G34" s="70"/>
      <x:c r="H34" s="70"/>
      <x:c r="I34" s="71"/>
      <x:c r="J34" s="67" t="s">
        <x:v>55</x:v>
      </x:c>
      <x:c r="K34" s="67"/>
      <x:c r="L34" s="72">
        <x:f>SUM(O19:Q33)</x:f>
        <x:v>0</x:v>
      </x:c>
      <x:c r="M34" s="73"/>
      <x:c r="N34" s="73"/>
      <x:c r="O34" s="73"/>
      <x:c r="P34" s="73"/>
      <x:c r="Q34" s="74"/>
    </x:row>
    <x:row r="35" spans="1:20" ht="20.100000000000001" customHeight="1">
      <x:c r="A35" s="75"/>
      <x:c r="B35" s="75"/>
      <x:c r="C35" s="75"/>
      <x:c r="D35" s="75"/>
      <x:c r="E35" s="75"/>
      <x:c r="F35" s="75"/>
      <x:c r="G35" s="75"/>
      <x:c r="H35" s="75"/>
      <x:c r="I35" s="76"/>
      <x:c r="J35" s="79" t="s">
        <x:v>56</x:v>
      </x:c>
      <x:c r="K35" s="79"/>
      <x:c r="L35" s="72">
        <x:f>L34*$T$6</x:f>
        <x:v>0</x:v>
      </x:c>
      <x:c r="M35" s="73"/>
      <x:c r="N35" s="73"/>
      <x:c r="O35" s="73"/>
      <x:c r="P35" s="73"/>
      <x:c r="Q35" s="74"/>
    </x:row>
    <x:row r="36" spans="1:20" ht="20.100000000000001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67" t="s">
        <x:v>57</x:v>
      </x:c>
      <x:c r="K36" s="67"/>
      <x:c r="L36" s="77">
        <x:f>L34+L35</x:f>
        <x:v>0</x:v>
      </x:c>
      <x:c r="M36" s="78"/>
      <x:c r="N36" s="78"/>
      <x:c r="O36" s="78"/>
      <x:c r="P36" s="78"/>
      <x:c r="Q36" s="78"/>
    </x:row>
    <x:row r="37" spans="1:20">
      <x:c r="A37" s="67" t="s">
        <x:v>58</x:v>
      </x:c>
      <x:c r="B37" s="67"/>
      <x:c r="C37" s="68"/>
      <x:c r="D37" s="69"/>
      <x:c r="E37" s="69"/>
      <x:c r="F37" s="69"/>
      <x:c r="G37" s="69"/>
      <x:c r="H37" s="69"/>
      <x:c r="I37" s="69"/>
      <x:c r="J37" s="69"/>
      <x:c r="K37" s="69"/>
      <x:c r="L37" s="69"/>
      <x:c r="M37" s="69"/>
      <x:c r="N37" s="69"/>
      <x:c r="O37" s="69"/>
      <x:c r="P37" s="69"/>
      <x:c r="Q37" s="69"/>
    </x:row>
    <x:row r="38" spans="1:20">
      <x:c r="A38" s="67"/>
      <x:c r="B38" s="67"/>
      <x:c r="C38" s="69"/>
      <x:c r="D38" s="69"/>
      <x:c r="E38" s="69"/>
      <x:c r="F38" s="69"/>
      <x:c r="G38" s="69"/>
      <x:c r="H38" s="69"/>
      <x:c r="I38" s="69"/>
      <x:c r="J38" s="69"/>
      <x:c r="K38" s="69"/>
      <x:c r="L38" s="69"/>
      <x:c r="M38" s="69"/>
      <x:c r="N38" s="69"/>
      <x:c r="O38" s="69"/>
      <x:c r="P38" s="69"/>
      <x:c r="Q38" s="69"/>
    </x:row>
    <x:row r="39" spans="1:20" ht="19.8">
      <x:c r="A39" s="1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</x:row>
    <x:row r="40" spans="1:20" ht="19.8">
      <x:c r="A40" s="1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</x:row>
  </x:sheetData>
  <x:mergeCells count="87">
    <x:mergeCell ref="O24:Q24"/>
    <x:mergeCell ref="O30:Q30"/>
    <x:mergeCell ref="L28:N28"/>
    <x:mergeCell ref="O28:Q28"/>
    <x:mergeCell ref="C30:I30"/>
    <x:mergeCell ref="C28:I28"/>
    <x:mergeCell ref="O25:Q25"/>
    <x:mergeCell ref="A25:I25"/>
    <x:mergeCell ref="O29:Q29"/>
    <x:mergeCell ref="L30:N30"/>
    <x:mergeCell ref="L29:N29"/>
    <x:mergeCell ref="L25:N25"/>
    <x:mergeCell ref="O26:Q26"/>
    <x:mergeCell ref="L33:N33"/>
    <x:mergeCell ref="O33:Q33"/>
    <x:mergeCell ref="L32:N32"/>
    <x:mergeCell ref="O32:Q32"/>
    <x:mergeCell ref="O27:Q27"/>
    <x:mergeCell ref="L31:N31"/>
    <x:mergeCell ref="O31:Q31"/>
    <x:mergeCell ref="A37:B38"/>
    <x:mergeCell ref="C37:Q38"/>
    <x:mergeCell ref="A34:I34"/>
    <x:mergeCell ref="J34:K34"/>
    <x:mergeCell ref="L34:Q34"/>
    <x:mergeCell ref="A35:I35"/>
    <x:mergeCell ref="J36:K36"/>
    <x:mergeCell ref="L36:Q36"/>
    <x:mergeCell ref="J35:K35"/>
    <x:mergeCell ref="L35:Q35"/>
    <x:mergeCell ref="A1:Q1"/>
    <x:mergeCell ref="A3:G3"/>
    <x:mergeCell ref="H3:I3"/>
    <x:mergeCell ref="L3:M3"/>
    <x:mergeCell ref="N3:Q3"/>
    <x:mergeCell ref="B4:C4"/>
    <x:mergeCell ref="D4:F4"/>
    <x:mergeCell ref="L4:M4"/>
    <x:mergeCell ref="N4:Q4"/>
    <x:mergeCell ref="K6:Q6"/>
    <x:mergeCell ref="B7:J7"/>
    <x:mergeCell ref="K7:Q7"/>
    <x:mergeCell ref="A6:I6"/>
    <x:mergeCell ref="A11:B11"/>
    <x:mergeCell ref="C11:I12"/>
    <x:mergeCell ref="K11:L11"/>
    <x:mergeCell ref="M11:Q11"/>
    <x:mergeCell ref="A12:B12"/>
    <x:mergeCell ref="K12:L12"/>
    <x:mergeCell ref="M12:Q12"/>
    <x:mergeCell ref="K9:Q9"/>
    <x:mergeCell ref="A10:B10"/>
    <x:mergeCell ref="C10:I10"/>
    <x:mergeCell ref="K10:L10"/>
    <x:mergeCell ref="M10:Q10"/>
    <x:mergeCell ref="K8:Q8"/>
    <x:mergeCell ref="A16:I16"/>
    <x:mergeCell ref="J16:K16"/>
    <x:mergeCell ref="L16:N16"/>
    <x:mergeCell ref="O16:Q16"/>
    <x:mergeCell ref="A14:C14"/>
    <x:mergeCell ref="D14:G14"/>
    <x:mergeCell ref="H14:I14"/>
    <x:mergeCell ref="J14:L14"/>
    <x:mergeCell ref="M14:Q14"/>
    <x:mergeCell ref="O18:Q18"/>
    <x:mergeCell ref="L19:N19"/>
    <x:mergeCell ref="O19:Q19"/>
    <x:mergeCell ref="L20:N20"/>
    <x:mergeCell ref="O20:Q20"/>
    <x:mergeCell ref="O21:Q21"/>
    <x:mergeCell ref="L22:N22"/>
    <x:mergeCell ref="O22:Q22"/>
    <x:mergeCell ref="L23:N23"/>
    <x:mergeCell ref="O23:Q23"/>
    <x:mergeCell ref="C17:D17"/>
    <x:mergeCell ref="F17:I17"/>
    <x:mergeCell ref="A31:I31"/>
    <x:mergeCell ref="L27:N27"/>
    <x:mergeCell ref="A22:B22"/>
    <x:mergeCell ref="A23:I23"/>
    <x:mergeCell ref="A24:I24"/>
    <x:mergeCell ref="L24:N24"/>
    <x:mergeCell ref="L21:N21"/>
    <x:mergeCell ref="L18:N18"/>
    <x:mergeCell ref="L26:N26"/>
    <x:mergeCell ref="A26:I27"/>
  </x:mergeCells>
  <x:phoneticPr fontId="3"/>
  <x:dataValidations disablePrompts="1" count="1">
    <x:dataValidation type="list" allowBlank="1" showInputMessage="1" showErrorMessage="1" sqref="K17:K33" xr:uid="{17A95916-B704-458F-B09D-6A1C98682C51}">
      <x:formula1>$S$6:$S$10</x:formula1>
    </x:dataValidation>
  </x:dataValidations>
  <x:pageMargins left="0.39370078740157483" right="0.39370078740157483" top="0.74803149606299213" bottom="0.74803149606299213" header="0.31496062992125984" footer="0.31496062992125984"/>
  <x:pageSetup paperSize="9" scale="89" orientation="portrait" r:id="rId1"/>
  <x:drawing r:id="rId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SourceID xmlns="6e425d3e-896b-49cb-9cfa-37430e7a0fcf">1uT4VI87EeuGedoqyL67eNLN_Pc3Xo4wn</MigrationSourceID>
    <lcf76f155ced4ddcb4097134ff3c332f xmlns="fcdf16ed-b6c9-41e9-93a4-9514a6eae224">
      <Terms xmlns="http://schemas.microsoft.com/office/infopath/2007/PartnerControls"/>
    </lcf76f155ced4ddcb4097134ff3c332f>
    <TaxCatchAll xmlns="6e425d3e-896b-49cb-9cfa-37430e7a0fc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35F1252AD4F104093AA247887E81414" ma:contentTypeVersion="13" ma:contentTypeDescription="新しいドキュメントを作成します。" ma:contentTypeScope="" ma:versionID="95f81b4fafe1c91660d129e0001a7b89">
  <xsd:schema xmlns:xsd="http://www.w3.org/2001/XMLSchema" xmlns:xs="http://www.w3.org/2001/XMLSchema" xmlns:p="http://schemas.microsoft.com/office/2006/metadata/properties" xmlns:ns2="6e425d3e-896b-49cb-9cfa-37430e7a0fcf" xmlns:ns3="fcdf16ed-b6c9-41e9-93a4-9514a6eae224" targetNamespace="http://schemas.microsoft.com/office/2006/metadata/properties" ma:root="true" ma:fieldsID="f1fc07f686c54cf28a2f00fce0a6f8ee" ns2:_="" ns3:_="">
    <xsd:import namespace="6e425d3e-896b-49cb-9cfa-37430e7a0fcf"/>
    <xsd:import namespace="fcdf16ed-b6c9-41e9-93a4-9514a6eae224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425d3e-896b-49cb-9cfa-37430e7a0fcf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8" nillable="true" ma:displayName="Taxonomy Catch All Column" ma:hidden="true" ma:list="{55bff7d1-1679-4762-9420-c5ceeb87f6b1}" ma:internalName="TaxCatchAll" ma:showField="CatchAllData" ma:web="6e425d3e-896b-49cb-9cfa-37430e7a0f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df16ed-b6c9-41e9-93a4-9514a6eae2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5033fad3-1c0e-438c-8ef7-82337a461f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E30EF11-9B41-48C2-989B-E5CA5E79DA4B}">
  <ds:schemaRefs>
    <ds:schemaRef ds:uri="http://schemas.microsoft.com/office/2006/documentManagement/types"/>
    <ds:schemaRef ds:uri="fcdf16ed-b6c9-41e9-93a4-9514a6eae224"/>
    <ds:schemaRef ds:uri="http://purl.org/dc/dcmitype/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6e425d3e-896b-49cb-9cfa-37430e7a0fcf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A72AFA19-9DCC-420F-95D2-324C21CA539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5A6D9A4-2707-4A89-972D-B16C63FD68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425d3e-896b-49cb-9cfa-37430e7a0fcf"/>
    <ds:schemaRef ds:uri="fcdf16ed-b6c9-41e9-93a4-9514a6eae2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注文書</vt:lpstr>
      <vt:lpstr>注文書!Print_Area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rontech</dc:creator>
  <cp:keywords/>
  <dc:description/>
  <cp:lastModifiedBy>徐 智建</cp:lastModifiedBy>
  <cp:revision/>
  <cp:lastPrinted>2026-07-21T02:30:45Z</cp:lastPrinted>
  <dcterms:created xsi:type="dcterms:W3CDTF">2020-03-17T02:13:19Z</dcterms:created>
  <dcterms:modified xsi:type="dcterms:W3CDTF">2026-09-11T00:25:57Z</dcterms:modified>
  <cp:category/>
  <cp:contentStatus/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ContentTypeId">
    <vt:lpwstr>0x010100135F1252AD4F104093AA247887E81414</vt:lpwstr>
  </op:property>
  <op:property fmtid="{D5CDD505-2E9C-101B-9397-08002B2CF9AE}" pid="3" name="Order">
    <vt:r8>11000</vt:r8>
  </op:property>
  <op:property fmtid="{D5CDD505-2E9C-101B-9397-08002B2CF9AE}" pid="4" name="MediaServiceImageTags">
    <vt:lpwstr/>
  </op:property>
  <op:property fmtid="{D5CDD505-2E9C-101B-9397-08002B2CF9AE}" pid="5" name="OfficeCLI.Version">
    <vt:lpwstr>1.0.149</vt:lpwstr>
  </op:property>
  <op:property fmtid="{D5CDD505-2E9C-101B-9397-08002B2CF9AE}" pid="6" name="OfficeCLI.LastModified">
    <vt:lpwstr>2026-09-11T06:33:15Z</vt:lpwstr>
  </op:property>
</op:Properties>
</file>