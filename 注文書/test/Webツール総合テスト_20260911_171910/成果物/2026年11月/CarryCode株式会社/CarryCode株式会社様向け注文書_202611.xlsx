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est\Webツール総合テスト_20260911_171910\成果物\2026年11月\CarryCode株式会社\"/>
    </mc:Choice>
  </mc:AlternateContent>
  <xr:revisionPtr revIDLastSave="0" documentId="13_ncr:1_{B4D1FAE0-185B-4FB0-B5C9-FFFE064FD70B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官公庁システム開発支援" sheetId="1" r:id="rId1"/>
  </sheets>
  <definedNames>
    <definedName name="_xlnm.Print_Area" localSheetId="0">官公庁システム開発支援!$A$1:$Q$44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28" i="1"/>
  <c r="O27" i="1"/>
  <c r="L25" i="1"/>
  <c r="L24" i="1"/>
  <c r="O23" i="1"/>
  <c r="L38" i="1" s="1"/>
  <c r="C17" i="1"/>
  <c r="L39" i="1" l="1"/>
  <c r="L40" i="1" s="1"/>
  <c r="D14" i="1" s="1"/>
  <c r="F17" i="1"/>
  <c r="N4" i="1"/>
</calcChain>
</file>

<file path=xl/sharedStrings.xml><?xml version="1.0" encoding="utf-8"?>
<sst xmlns="http://schemas.openxmlformats.org/spreadsheetml/2006/main" count="70" uniqueCount="62">
  <si>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</si>
  <si>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</si>
  <si>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</si>
  <si>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</si>
  <si>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</si>
  <si>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</si>
  <si>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</si>
  <si>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</si>
  <si>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</si>
  <si>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</si>
  <si>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</si>
  <si>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</si>
  <si>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</si>
  <si>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</si>
  <si>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</si>
  <si>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</si>
  <si>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</si>
  <si>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</si>
  <si>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</si>
  <si>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</si>
  <si>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</si>
  <si>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</si>
  <si>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</si>
  <si>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</si>
  <si>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</si>
  <si>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</si>
  <si>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</si>
  <si>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</si>
  <si>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</si>
  <si>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</si>
  <si>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</si>
  <si>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</si>
  <si>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</si>
  <si>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</si>
  <si>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</si>
  <si>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</si>
  <si>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</si>
  <si>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</si>
  <si>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</si>
  <si>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</si>
  <si>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</si>
  <si>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</si>
  <si>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</si>
  <si>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</si>
  <si>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</si>
  <si>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</si>
  <si>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</si>
  <si>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</si>
  <si>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CarryCode株式会社</t>
    <phoneticPr fontId="3"/>
  </si>
  <si>
    <t>官公庁システム開発支援</t>
    <phoneticPr fontId="3"/>
  </si>
  <si>
    <t>上記業務とそれに伴う附帯作業</t>
    <phoneticPr fontId="3"/>
  </si>
  <si>
    <t>鄒　樹軍</t>
    <phoneticPr fontId="4"/>
  </si>
  <si>
    <t>技術者</t>
  </si>
  <si>
    <t>陶　鶴中</t>
  </si>
  <si>
    <t>基本時間　149h～200h</t>
  </si>
  <si>
    <t>人月</t>
  </si>
  <si>
    <t>超過単価（200h超過分）※10円未満切捨</t>
  </si>
  <si>
    <t>時間</t>
  </si>
  <si>
    <t>控除単価（149h不足分）※10円未満切捨</t>
  </si>
  <si>
    <t>哈哈　鶴中</t>
  </si>
  <si>
    <t>※過不足の場合は別途調整、下限時間：営業日20日未満の場合は営業日×8時間となります。</t>
    <phoneticPr fontId="3"/>
  </si>
  <si>
    <t>鄒　樹軍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</si>
</sst>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abSelected="1"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48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46326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51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L40</f>
        <v>1063332.6000000001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20">
      <c r="A17" s="5" t="s">
        <v>29</v>
      </c>
      <c r="B17" s="6"/>
      <c r="C17" s="84">
        <f>DATE(2026,11,1)</f>
        <v>46327</v>
      </c>
      <c r="D17" s="84"/>
      <c r="E17" s="7" t="s">
        <v>30</v>
      </c>
      <c r="F17" s="85">
        <f>EOMONTH(C17,0)</f>
        <v>46356</v>
      </c>
      <c r="G17" s="85"/>
      <c r="H17" s="85"/>
      <c r="I17" s="86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49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50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0" t="s">
        <v>52</v>
      </c>
      <c r="B22" s="91"/>
      <c r="C22" s="13" t="s">
        <v>53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54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1">
        <v>510000</v>
      </c>
      <c r="M23" s="82"/>
      <c r="N23" s="83"/>
      <c r="O23" s="25">
        <f>J23*L23</f>
        <v>510000</v>
      </c>
      <c r="P23" s="26"/>
      <c r="Q23" s="27"/>
    </row>
    <row r="24" spans="1:20" ht="18.600000000000001" customHeight="1">
      <c r="A24" s="40" t="s">
        <v>56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57</v>
      </c>
      <c r="L24" s="81">
        <f>ROUNDDOWN(L23/$T$24,-1)</f>
        <v>2550</v>
      </c>
      <c r="M24" s="82"/>
      <c r="N24" s="83"/>
      <c r="O24" s="25"/>
      <c r="P24" s="26"/>
      <c r="Q24" s="27"/>
      <c r="S24">
        <v>149</v>
      </c>
      <c r="T24">
        <v>200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57</v>
      </c>
      <c r="L25" s="43">
        <f>ROUNDDOWN(-L23/$S$24,-1)</f>
        <v>-3420</v>
      </c>
      <c r="M25" s="44"/>
      <c r="N25" s="45"/>
      <c r="O25" s="25"/>
      <c r="P25" s="26"/>
      <c r="Q25" s="27"/>
    </row>
    <row r="26" spans="1:20" ht="18.600000000000001" customHeight="1">
      <c r="A26" s="90" t="s">
        <v>52</v>
      </c>
      <c r="B26" s="91"/>
      <c r="C26" s="13" t="s">
        <v>59</v>
      </c>
      <c r="D26" s="13"/>
      <c r="E26" s="13"/>
      <c r="F26" s="13"/>
      <c r="G26" s="13"/>
      <c r="H26" s="13"/>
      <c r="I26" s="14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40" t="s">
        <v>54</v>
      </c>
      <c r="B27" s="41"/>
      <c r="C27" s="41"/>
      <c r="D27" s="41"/>
      <c r="E27" s="41"/>
      <c r="F27" s="41"/>
      <c r="G27" s="41"/>
      <c r="H27" s="41"/>
      <c r="I27" s="42"/>
      <c r="J27" s="8">
        <v>1</v>
      </c>
      <c r="K27" s="9" t="s">
        <v>55</v>
      </c>
      <c r="L27" s="81">
        <v>456666</v>
      </c>
      <c r="M27" s="82"/>
      <c r="N27" s="83"/>
      <c r="O27" s="25">
        <f>J27*L27</f>
        <v>456666</v>
      </c>
      <c r="P27" s="26"/>
      <c r="Q27" s="27"/>
    </row>
    <row r="28" spans="1:20" ht="18.600000000000001" customHeight="1">
      <c r="A28" s="40" t="s">
        <v>56</v>
      </c>
      <c r="B28" s="41"/>
      <c r="C28" s="41"/>
      <c r="D28" s="41"/>
      <c r="E28" s="41"/>
      <c r="F28" s="41"/>
      <c r="G28" s="41"/>
      <c r="H28" s="41"/>
      <c r="I28" s="42"/>
      <c r="J28" s="8"/>
      <c r="K28" s="9" t="s">
        <v>57</v>
      </c>
      <c r="L28" s="81">
        <f>ROUNDDOWN(L27/$T$28,-1)</f>
        <v>2280</v>
      </c>
      <c r="M28" s="82"/>
      <c r="N28" s="83"/>
      <c r="O28" s="25"/>
      <c r="P28" s="26"/>
      <c r="Q28" s="27"/>
      <c r="S28">
        <v>149</v>
      </c>
      <c r="T28">
        <v>200</v>
      </c>
    </row>
    <row r="29" spans="1:20" ht="18.600000000000001" customHeight="1">
      <c r="A29" s="40" t="s">
        <v>58</v>
      </c>
      <c r="B29" s="41"/>
      <c r="C29" s="41"/>
      <c r="D29" s="41"/>
      <c r="E29" s="41"/>
      <c r="F29" s="41"/>
      <c r="G29" s="41"/>
      <c r="H29" s="41"/>
      <c r="I29" s="42"/>
      <c r="J29" s="8"/>
      <c r="K29" s="9" t="s">
        <v>57</v>
      </c>
      <c r="L29" s="43">
        <f>ROUNDDOWN(-L27/$S$28,-1)</f>
        <v>-3060</v>
      </c>
      <c r="M29" s="44"/>
      <c r="N29" s="45"/>
      <c r="O29" s="25"/>
      <c r="P29" s="26"/>
      <c r="Q29" s="27"/>
    </row>
    <row r="30" spans="1:20" ht="18.600000000000001" customHeight="1">
      <c r="A30" s="92" t="s">
        <v>60</v>
      </c>
      <c r="B30" s="68"/>
      <c r="C30" s="68"/>
      <c r="D30" s="68"/>
      <c r="E30" s="68"/>
      <c r="F30" s="68"/>
      <c r="G30" s="68"/>
      <c r="H30" s="68"/>
      <c r="I30" s="93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94"/>
      <c r="B31" s="69"/>
      <c r="C31" s="69"/>
      <c r="D31" s="69"/>
      <c r="E31" s="69"/>
      <c r="F31" s="69"/>
      <c r="G31" s="69"/>
      <c r="H31" s="69"/>
      <c r="I31" s="95"/>
      <c r="J31" s="8"/>
      <c r="K31" s="9"/>
      <c r="L31" s="31"/>
      <c r="M31" s="32"/>
      <c r="N31" s="33"/>
      <c r="O31" s="34"/>
      <c r="P31" s="34"/>
      <c r="Q31" s="34"/>
    </row>
    <row r="32" spans="1:20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37</v>
      </c>
      <c r="B33" s="10"/>
      <c r="C33" s="24" t="s">
        <v>38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39</v>
      </c>
      <c r="B34" s="10"/>
      <c r="C34" s="35" t="s">
        <v>40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7"/>
      <c r="B35" s="88"/>
      <c r="C35" s="88"/>
      <c r="D35" s="88"/>
      <c r="E35" s="88"/>
      <c r="F35" s="88"/>
      <c r="G35" s="88"/>
      <c r="H35" s="88"/>
      <c r="I35" s="89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41</v>
      </c>
      <c r="B36" s="10"/>
      <c r="C36" s="10" t="s">
        <v>61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42</v>
      </c>
      <c r="B37" s="10"/>
      <c r="C37" s="10" t="s">
        <v>43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8"/>
      <c r="B38" s="48"/>
      <c r="C38" s="48"/>
      <c r="D38" s="48"/>
      <c r="E38" s="48"/>
      <c r="F38" s="48"/>
      <c r="G38" s="48"/>
      <c r="H38" s="48"/>
      <c r="I38" s="49"/>
      <c r="J38" s="46" t="s">
        <v>44</v>
      </c>
      <c r="K38" s="46"/>
      <c r="L38" s="50">
        <f>SUM(O22:O29)</f>
        <v>966666</v>
      </c>
      <c r="M38" s="51"/>
      <c r="N38" s="51"/>
      <c r="O38" s="51"/>
      <c r="P38" s="51"/>
      <c r="Q38" s="52"/>
    </row>
    <row r="39" spans="1:20" ht="20.100000000000001" customHeight="1">
      <c r="A39" s="53"/>
      <c r="B39" s="53"/>
      <c r="C39" s="53"/>
      <c r="D39" s="53"/>
      <c r="E39" s="53"/>
      <c r="F39" s="53"/>
      <c r="G39" s="53"/>
      <c r="H39" s="53"/>
      <c r="I39" s="54"/>
      <c r="J39" s="57" t="s">
        <v>45</v>
      </c>
      <c r="K39" s="57"/>
      <c r="L39" s="50">
        <f>L38*$T$6</f>
        <v>96666.6</v>
      </c>
      <c r="M39" s="51"/>
      <c r="N39" s="51"/>
      <c r="O39" s="51"/>
      <c r="P39" s="51"/>
      <c r="Q39" s="52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46</v>
      </c>
      <c r="K40" s="46"/>
      <c r="L40" s="55">
        <f>L38+L39</f>
        <v>1063332.6000000001</v>
      </c>
      <c r="M40" s="56"/>
      <c r="N40" s="56"/>
      <c r="O40" s="56"/>
      <c r="P40" s="56"/>
      <c r="Q40" s="56"/>
    </row>
    <row r="41" spans="1:20">
      <c r="A41" s="46" t="s">
        <v>47</v>
      </c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spans="1:20">
      <c r="A42" s="46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99"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3:I23"/>
    <mergeCell ref="A24:I24"/>
    <mergeCell ref="L24:N24"/>
    <mergeCell ref="L21:N21"/>
    <mergeCell ref="L18:N18"/>
    <mergeCell ref="L30:N30"/>
    <mergeCell ref="A30:I31"/>
    <mergeCell ref="A26:B26"/>
    <mergeCell ref="L26:N26"/>
    <mergeCell ref="A27:I27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官公庁システム開発支援</vt:lpstr>
      <vt:lpstr>官公庁システム開発支援!Print_Area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2026-09-11T08:21:24Z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