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est\Webツール総合テスト_20260911_171910\成果物\2026年11月\大成功\"/>
    </mc:Choice>
  </mc:AlternateContent>
  <xr:revisionPtr revIDLastSave="0" documentId="13_ncr:1_{2FE09857-9453-4993-817E-EB7768E6BFF7}" xr6:coauthVersionLast="47" xr6:coauthVersionMax="47" xr10:uidLastSave="{00000000-0000-0000-0000-000000000000}"/>
  <bookViews>
    <workbookView xWindow="768" yWindow="768" windowWidth="17280" windowHeight="8880" xr2:uid="{1562F2A9-65A0-4474-B221-BEB7ABDB720F}"/>
  </bookViews>
  <sheets>
    <sheet name="DNAC" sheetId="1" r:id="rId1"/>
  </sheets>
  <definedNames>
    <definedName name="_xlnm.Print_Area" localSheetId="0">DNAC!$A$1:$Q$44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1" l="1"/>
  <c r="O22" i="1"/>
  <c r="L38" i="1" s="1"/>
  <c r="C17" i="1"/>
  <c r="L39" i="1" l="1"/>
  <c r="L40" i="1"/>
  <c r="D14" i="1" s="1"/>
  <c r="F17" i="1"/>
  <c r="N4" i="1"/>
</calcChain>
</file>

<file path=xl/sharedStrings.xml><?xml version="1.0" encoding="utf-8"?>
<sst xmlns="http://schemas.openxmlformats.org/spreadsheetml/2006/main" count="64" uniqueCount="60">
  <si>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</si>
  <si>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</si>
  <si>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</si>
  <si>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</si>
  <si>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</si>
  <si>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</si>
  <si>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</si>
  <si>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</si>
  <si>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</si>
  <si>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</si>
  <si>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</si>
  <si>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</si>
  <si>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</si>
  <si>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</si>
  <si>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</si>
  <si>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</si>
  <si>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</si>
  <si>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</si>
  <si>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</si>
  <si>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</si>
  <si>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</si>
  <si>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</si>
  <si>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</si>
  <si>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</si>
  <si>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</si>
  <si>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</si>
  <si>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</si>
  <si>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</si>
  <si>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</si>
  <si>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</si>
  <si>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</si>
  <si>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</si>
  <si>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</si>
  <si>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</si>
  <si>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</si>
  <si>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</si>
  <si>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</si>
  <si>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※過不足の場合は別途調整、下限時間：営業日20日未満の場合は営業日×8時間となります。</t>
    <rPh sb="13" eb="15">
      <t>カゲン</t>
    </rPh>
    <rPh sb="15" eb="17">
      <t>ジカン</t>
    </rPh>
    <rPh sb="18" eb="21">
      <t>エイギョウビ</t>
    </rPh>
    <rPh sb="23" eb="24">
      <t>ニチ</t>
    </rPh>
    <rPh sb="24" eb="26">
      <t>ミマン</t>
    </rPh>
    <rPh sb="27" eb="29">
      <t>バアイ</t>
    </rPh>
    <rPh sb="30" eb="33">
      <t>エイギョウビ</t>
    </rPh>
    <rPh sb="35" eb="37">
      <t>ジカン</t>
    </rPh>
    <phoneticPr fontId="3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</si>
  <si>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</si>
  <si>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</si>
  <si>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</si>
  <si>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</si>
  <si>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</si>
  <si>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</si>
  <si>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</si>
  <si>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</si>
  <si>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</si>
  <si>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</si>
  <si>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</si>
  <si>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大成功</t>
    <phoneticPr fontId="3"/>
  </si>
  <si>
    <t>DNAC</t>
    <phoneticPr fontId="3"/>
  </si>
  <si>
    <t>上記業務とそれに伴う附帯作業</t>
    <phoneticPr fontId="3"/>
  </si>
  <si>
    <t>鄒　樹軍</t>
    <phoneticPr fontId="4"/>
  </si>
  <si>
    <t>技術者、料金</t>
  </si>
  <si>
    <t>徐　千絵家</t>
  </si>
  <si>
    <t>人月</t>
  </si>
  <si>
    <t>基準時間</t>
  </si>
  <si>
    <t>月基準作業時間（150h～200h）
過不足あった場合は別途調整
※作業時間が200時間超えそうな場合には、事前にPMへ報告願います</t>
  </si>
  <si>
    <t>山本　成功</t>
  </si>
  <si>
    <t>鄒　樹軍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</si>
</sst>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  <xf numFmtId="0" fontId="16" fillId="0" borderId="5" xfId="0" applyFont="1" applyBorder="1" applyAlignment="1" applyProtection="1">
      <alignment horizontal="left" vertical="center" wrapText="1"/>
      <protection locked="0"/>
    </xf>
    <xf numFmtId="0" fontId="16" fillId="0" borderId="6" xfId="0" applyFont="1" applyBorder="1" applyAlignment="1" applyProtection="1">
      <alignment horizontal="left" vertical="center" wrapText="1"/>
      <protection locked="0"/>
    </xf>
    <xf numFmtId="0" fontId="22" fillId="0" borderId="5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44"/>
  <sheetViews>
    <sheetView tabSelected="1" topLeftCell="A11" zoomScaleNormal="100" workbookViewId="0">
      <selection activeCell="J26" sqref="J26:Q26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59" t="s">
        <v>49</v>
      </c>
      <c r="B3" s="59"/>
      <c r="C3" s="59"/>
      <c r="D3" s="59"/>
      <c r="E3" s="59"/>
      <c r="F3" s="59"/>
      <c r="G3" s="59"/>
      <c r="H3" s="60" t="s">
        <v>1</v>
      </c>
      <c r="I3" s="60"/>
      <c r="J3" s="1"/>
      <c r="K3" s="1"/>
      <c r="L3" s="61"/>
      <c r="M3" s="62"/>
      <c r="N3" s="63"/>
      <c r="O3" s="63"/>
      <c r="P3" s="63"/>
      <c r="Q3" s="63"/>
    </row>
    <row r="4" spans="1:20" ht="19.8">
      <c r="A4" s="1"/>
      <c r="B4" s="62"/>
      <c r="C4" s="62"/>
      <c r="D4" s="64"/>
      <c r="E4" s="64"/>
      <c r="F4" s="64"/>
      <c r="G4" s="2"/>
      <c r="H4" s="1"/>
      <c r="I4" s="1"/>
      <c r="J4" s="1"/>
      <c r="K4" s="1"/>
      <c r="L4" s="61" t="s">
        <v>2</v>
      </c>
      <c r="M4" s="62"/>
      <c r="N4" s="65">
        <f>$C$17-1</f>
        <v>46326</v>
      </c>
      <c r="O4" s="65"/>
      <c r="P4" s="65"/>
      <c r="Q4" s="65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6" t="s">
        <v>3</v>
      </c>
      <c r="B6" s="66"/>
      <c r="C6" s="66"/>
      <c r="D6" s="66"/>
      <c r="E6" s="66"/>
      <c r="F6" s="66"/>
      <c r="G6" s="66"/>
      <c r="H6" s="66"/>
      <c r="I6" s="66"/>
      <c r="J6" s="1"/>
      <c r="K6" s="62" t="s">
        <v>4</v>
      </c>
      <c r="L6" s="62"/>
      <c r="M6" s="62"/>
      <c r="N6" s="62"/>
      <c r="O6" s="62"/>
      <c r="P6" s="62"/>
      <c r="Q6" s="62"/>
      <c r="S6" t="s">
        <v>5</v>
      </c>
      <c r="T6" s="3">
        <v>0.1</v>
      </c>
    </row>
    <row r="7" spans="1:20" ht="20.399999999999999" thickTop="1">
      <c r="A7" s="1"/>
      <c r="B7" s="61" t="s">
        <v>6</v>
      </c>
      <c r="C7" s="62"/>
      <c r="D7" s="62"/>
      <c r="E7" s="62"/>
      <c r="F7" s="62"/>
      <c r="G7" s="62"/>
      <c r="H7" s="62"/>
      <c r="I7" s="62"/>
      <c r="J7" s="62"/>
      <c r="K7" s="62" t="s">
        <v>7</v>
      </c>
      <c r="L7" s="62"/>
      <c r="M7" s="62"/>
      <c r="N7" s="62"/>
      <c r="O7" s="62"/>
      <c r="P7" s="62"/>
      <c r="Q7" s="62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2" t="s">
        <v>9</v>
      </c>
      <c r="L8" s="62"/>
      <c r="M8" s="62"/>
      <c r="N8" s="62"/>
      <c r="O8" s="62"/>
      <c r="P8" s="62"/>
      <c r="Q8" s="62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2" t="s">
        <v>11</v>
      </c>
      <c r="L9" s="62"/>
      <c r="M9" s="62"/>
      <c r="N9" s="62"/>
      <c r="O9" s="62"/>
      <c r="P9" s="62"/>
      <c r="Q9" s="62"/>
      <c r="S9" t="s">
        <v>12</v>
      </c>
    </row>
    <row r="10" spans="1:20">
      <c r="A10" s="67" t="s">
        <v>13</v>
      </c>
      <c r="B10" s="67"/>
      <c r="C10" s="72" t="s">
        <v>14</v>
      </c>
      <c r="D10" s="72"/>
      <c r="E10" s="72"/>
      <c r="F10" s="72"/>
      <c r="G10" s="72"/>
      <c r="H10" s="72"/>
      <c r="I10" s="72"/>
      <c r="J10" s="1"/>
      <c r="K10" s="70" t="s">
        <v>15</v>
      </c>
      <c r="L10" s="70"/>
      <c r="M10" s="71" t="s">
        <v>16</v>
      </c>
      <c r="N10" s="71"/>
      <c r="O10" s="71"/>
      <c r="P10" s="71"/>
      <c r="Q10" s="71"/>
      <c r="S10" t="s">
        <v>17</v>
      </c>
    </row>
    <row r="11" spans="1:20" ht="18" customHeight="1">
      <c r="A11" s="67"/>
      <c r="B11" s="67"/>
      <c r="C11" s="68" t="s">
        <v>18</v>
      </c>
      <c r="D11" s="68"/>
      <c r="E11" s="68"/>
      <c r="F11" s="68"/>
      <c r="G11" s="68"/>
      <c r="H11" s="68"/>
      <c r="I11" s="68"/>
      <c r="J11" s="1"/>
      <c r="K11" s="70" t="s">
        <v>19</v>
      </c>
      <c r="L11" s="70"/>
      <c r="M11" s="71" t="s">
        <v>20</v>
      </c>
      <c r="N11" s="71"/>
      <c r="O11" s="71"/>
      <c r="P11" s="71"/>
      <c r="Q11" s="71"/>
    </row>
    <row r="12" spans="1:20">
      <c r="A12" s="67" t="s">
        <v>21</v>
      </c>
      <c r="B12" s="67"/>
      <c r="C12" s="69"/>
      <c r="D12" s="69"/>
      <c r="E12" s="69"/>
      <c r="F12" s="69"/>
      <c r="G12" s="69"/>
      <c r="H12" s="69"/>
      <c r="I12" s="69"/>
      <c r="J12" s="1"/>
      <c r="K12" s="70" t="s">
        <v>22</v>
      </c>
      <c r="L12" s="70"/>
      <c r="M12" s="71" t="s">
        <v>52</v>
      </c>
      <c r="N12" s="71"/>
      <c r="O12" s="71"/>
      <c r="P12" s="71"/>
      <c r="Q12" s="71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7" t="s">
        <v>23</v>
      </c>
      <c r="B14" s="77"/>
      <c r="C14" s="77"/>
      <c r="D14" s="78">
        <f>L40</f>
        <v>2003100</v>
      </c>
      <c r="E14" s="78"/>
      <c r="F14" s="78"/>
      <c r="G14" s="78"/>
      <c r="H14" s="79" t="s">
        <v>24</v>
      </c>
      <c r="I14" s="79"/>
      <c r="J14" s="63"/>
      <c r="K14" s="63"/>
      <c r="L14" s="63"/>
      <c r="M14" s="80"/>
      <c r="N14" s="80"/>
      <c r="O14" s="80"/>
      <c r="P14" s="80"/>
      <c r="Q14" s="80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3" t="s">
        <v>25</v>
      </c>
      <c r="B16" s="74"/>
      <c r="C16" s="74"/>
      <c r="D16" s="74"/>
      <c r="E16" s="74"/>
      <c r="F16" s="74"/>
      <c r="G16" s="74"/>
      <c r="H16" s="74"/>
      <c r="I16" s="75"/>
      <c r="J16" s="76" t="s">
        <v>26</v>
      </c>
      <c r="K16" s="76"/>
      <c r="L16" s="76" t="s">
        <v>27</v>
      </c>
      <c r="M16" s="76"/>
      <c r="N16" s="76"/>
      <c r="O16" s="76" t="s">
        <v>28</v>
      </c>
      <c r="P16" s="76"/>
      <c r="Q16" s="76"/>
    </row>
    <row r="17" spans="1:17">
      <c r="A17" s="5" t="s">
        <v>29</v>
      </c>
      <c r="B17" s="6"/>
      <c r="C17" s="84">
        <f>DATE(2026,11,1)</f>
        <v>46327</v>
      </c>
      <c r="D17" s="84"/>
      <c r="E17" s="7" t="s">
        <v>30</v>
      </c>
      <c r="F17" s="85">
        <f>EOMONTH(C17,0)</f>
        <v>46356</v>
      </c>
      <c r="G17" s="85"/>
      <c r="H17" s="85"/>
      <c r="I17" s="86"/>
      <c r="J17" s="8"/>
      <c r="K17" s="9"/>
      <c r="L17" s="18"/>
      <c r="M17" s="19"/>
      <c r="N17" s="20"/>
      <c r="O17" s="21"/>
      <c r="P17" s="22"/>
      <c r="Q17" s="23"/>
    </row>
    <row r="18" spans="1:17" ht="18.600000000000001" customHeight="1">
      <c r="A18" s="15" t="s">
        <v>31</v>
      </c>
      <c r="B18" s="16"/>
      <c r="C18" s="10" t="s">
        <v>50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17" ht="18.600000000000001" customHeight="1">
      <c r="A19" s="5" t="s">
        <v>32</v>
      </c>
      <c r="B19" s="10"/>
      <c r="C19" s="10" t="s">
        <v>51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17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17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17" ht="18.600000000000001" customHeight="1">
      <c r="A22" s="90" t="s">
        <v>53</v>
      </c>
      <c r="B22" s="91"/>
      <c r="C22" s="13" t="s">
        <v>54</v>
      </c>
      <c r="D22" s="13"/>
      <c r="E22" s="13"/>
      <c r="F22" s="13"/>
      <c r="G22" s="13"/>
      <c r="H22" s="13"/>
      <c r="I22" s="14"/>
      <c r="J22" s="8">
        <v>1</v>
      </c>
      <c r="K22" s="9" t="s">
        <v>55</v>
      </c>
      <c r="L22" s="81">
        <v>900000</v>
      </c>
      <c r="M22" s="82"/>
      <c r="N22" s="83"/>
      <c r="O22" s="25">
        <f>J22*L22</f>
        <v>900000</v>
      </c>
      <c r="P22" s="26"/>
      <c r="Q22" s="27"/>
    </row>
    <row r="23" spans="1:17" ht="48" customHeight="1">
      <c r="A23" s="40" t="s">
        <v>56</v>
      </c>
      <c r="B23" s="41"/>
      <c r="C23" s="98" t="s">
        <v>57</v>
      </c>
      <c r="D23" s="96"/>
      <c r="E23" s="96"/>
      <c r="F23" s="96"/>
      <c r="G23" s="96"/>
      <c r="H23" s="96"/>
      <c r="I23" s="97"/>
      <c r="J23" s="8"/>
      <c r="K23" s="9"/>
      <c r="L23" s="81"/>
      <c r="M23" s="82"/>
      <c r="N23" s="83"/>
      <c r="O23" s="25"/>
      <c r="P23" s="26"/>
      <c r="Q23" s="27"/>
    </row>
    <row r="24" spans="1:17" ht="18.600000000000001" hidden="1" customHeight="1">
      <c r="A24" s="40"/>
      <c r="B24" s="41"/>
      <c r="C24" s="41"/>
      <c r="D24" s="41"/>
      <c r="E24" s="41"/>
      <c r="F24" s="41"/>
      <c r="G24" s="41"/>
      <c r="H24" s="41"/>
      <c r="I24" s="42"/>
      <c r="J24" s="8"/>
      <c r="K24" s="9"/>
      <c r="L24" s="81"/>
      <c r="M24" s="82"/>
      <c r="N24" s="83"/>
      <c r="O24" s="25"/>
      <c r="P24" s="26"/>
      <c r="Q24" s="27"/>
    </row>
    <row r="25" spans="1:17" ht="18.600000000000001" hidden="1" customHeight="1">
      <c r="A25" s="40"/>
      <c r="B25" s="41"/>
      <c r="C25" s="41"/>
      <c r="D25" s="41"/>
      <c r="E25" s="41"/>
      <c r="F25" s="41"/>
      <c r="G25" s="41"/>
      <c r="H25" s="41"/>
      <c r="I25" s="42"/>
      <c r="J25" s="8"/>
      <c r="K25" s="9"/>
      <c r="L25" s="43"/>
      <c r="M25" s="44"/>
      <c r="N25" s="45"/>
      <c r="O25" s="25"/>
      <c r="P25" s="26"/>
      <c r="Q25" s="27"/>
    </row>
    <row r="26" spans="1:17" ht="18.600000000000001" customHeight="1">
      <c r="A26" s="90" t="s">
        <v>53</v>
      </c>
      <c r="B26" s="91"/>
      <c r="C26" s="13" t="s">
        <v>58</v>
      </c>
      <c r="D26" s="13"/>
      <c r="E26" s="13"/>
      <c r="F26" s="13"/>
      <c r="G26" s="13"/>
      <c r="H26" s="13"/>
      <c r="I26" s="14"/>
      <c r="J26" s="8">
        <v>1</v>
      </c>
      <c r="K26" s="9" t="s">
        <v>55</v>
      </c>
      <c r="L26" s="81">
        <v>921000</v>
      </c>
      <c r="M26" s="82"/>
      <c r="N26" s="83"/>
      <c r="O26" s="25">
        <f>J26*L26</f>
        <v>921000</v>
      </c>
      <c r="P26" s="26"/>
      <c r="Q26" s="27"/>
    </row>
    <row r="27" spans="1:17" ht="48" customHeight="1">
      <c r="A27" s="40" t="s">
        <v>56</v>
      </c>
      <c r="B27" s="41"/>
      <c r="C27" s="98" t="s">
        <v>57</v>
      </c>
      <c r="D27" s="96"/>
      <c r="E27" s="96"/>
      <c r="F27" s="96"/>
      <c r="G27" s="96"/>
      <c r="H27" s="96"/>
      <c r="I27" s="97"/>
      <c r="J27" s="8"/>
      <c r="K27" s="9"/>
      <c r="L27" s="81"/>
      <c r="M27" s="82"/>
      <c r="N27" s="83"/>
      <c r="O27" s="25"/>
      <c r="P27" s="26"/>
      <c r="Q27" s="27"/>
    </row>
    <row r="28" spans="1:17" ht="18.600000000000001" hidden="1" customHeight="1">
      <c r="A28" s="40"/>
      <c r="B28" s="41"/>
      <c r="C28" s="41"/>
      <c r="D28" s="41"/>
      <c r="E28" s="41"/>
      <c r="F28" s="41"/>
      <c r="G28" s="41"/>
      <c r="H28" s="41"/>
      <c r="I28" s="42"/>
      <c r="J28" s="8"/>
      <c r="K28" s="9"/>
      <c r="L28" s="81"/>
      <c r="M28" s="82"/>
      <c r="N28" s="83"/>
      <c r="O28" s="25"/>
      <c r="P28" s="26"/>
      <c r="Q28" s="27"/>
    </row>
    <row r="29" spans="1:17" ht="18.600000000000001" hidden="1" customHeight="1">
      <c r="A29" s="40"/>
      <c r="B29" s="41"/>
      <c r="C29" s="41"/>
      <c r="D29" s="41"/>
      <c r="E29" s="41"/>
      <c r="F29" s="41"/>
      <c r="G29" s="41"/>
      <c r="H29" s="41"/>
      <c r="I29" s="42"/>
      <c r="J29" s="8"/>
      <c r="K29" s="9"/>
      <c r="L29" s="43"/>
      <c r="M29" s="44"/>
      <c r="N29" s="45"/>
      <c r="O29" s="25"/>
      <c r="P29" s="26"/>
      <c r="Q29" s="27"/>
    </row>
    <row r="30" spans="1:17" ht="18.600000000000001" hidden="1" customHeight="1">
      <c r="A30" s="92" t="s">
        <v>37</v>
      </c>
      <c r="B30" s="68"/>
      <c r="C30" s="68"/>
      <c r="D30" s="68"/>
      <c r="E30" s="68"/>
      <c r="F30" s="68"/>
      <c r="G30" s="68"/>
      <c r="H30" s="68"/>
      <c r="I30" s="93"/>
      <c r="J30" s="8"/>
      <c r="K30" s="9"/>
      <c r="L30" s="31"/>
      <c r="M30" s="32"/>
      <c r="N30" s="33"/>
      <c r="O30" s="34"/>
      <c r="P30" s="34"/>
      <c r="Q30" s="34"/>
    </row>
    <row r="31" spans="1:17" ht="18.600000000000001" hidden="1" customHeight="1">
      <c r="A31" s="94"/>
      <c r="B31" s="69"/>
      <c r="C31" s="69"/>
      <c r="D31" s="69"/>
      <c r="E31" s="69"/>
      <c r="F31" s="69"/>
      <c r="G31" s="69"/>
      <c r="H31" s="69"/>
      <c r="I31" s="95"/>
      <c r="J31" s="8"/>
      <c r="K31" s="9"/>
      <c r="L31" s="31"/>
      <c r="M31" s="32"/>
      <c r="N31" s="33"/>
      <c r="O31" s="34"/>
      <c r="P31" s="34"/>
      <c r="Q31" s="34"/>
    </row>
    <row r="32" spans="1:17">
      <c r="A32" s="15"/>
      <c r="B32" s="17"/>
      <c r="C32" s="37"/>
      <c r="D32" s="38"/>
      <c r="E32" s="38"/>
      <c r="F32" s="38"/>
      <c r="G32" s="38"/>
      <c r="H32" s="38"/>
      <c r="I32" s="39"/>
      <c r="J32" s="8"/>
      <c r="K32" s="9"/>
      <c r="L32" s="31"/>
      <c r="M32" s="32"/>
      <c r="N32" s="33"/>
      <c r="O32" s="34"/>
      <c r="P32" s="34"/>
      <c r="Q32" s="34"/>
    </row>
    <row r="33" spans="1:20">
      <c r="A33" s="5" t="s">
        <v>38</v>
      </c>
      <c r="B33" s="10"/>
      <c r="C33" s="24" t="s">
        <v>39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9.1" customHeight="1">
      <c r="A34" s="5" t="s">
        <v>40</v>
      </c>
      <c r="B34" s="10"/>
      <c r="C34" s="35" t="s">
        <v>41</v>
      </c>
      <c r="D34" s="35"/>
      <c r="E34" s="35"/>
      <c r="F34" s="35"/>
      <c r="G34" s="35"/>
      <c r="H34" s="35"/>
      <c r="I34" s="36"/>
      <c r="J34" s="8"/>
      <c r="K34" s="9"/>
      <c r="L34" s="31"/>
      <c r="M34" s="32"/>
      <c r="N34" s="33"/>
      <c r="O34" s="28"/>
      <c r="P34" s="29"/>
      <c r="Q34" s="30"/>
    </row>
    <row r="35" spans="1:20" ht="18.600000000000001" customHeight="1">
      <c r="A35" s="87"/>
      <c r="B35" s="88"/>
      <c r="C35" s="88"/>
      <c r="D35" s="88"/>
      <c r="E35" s="88"/>
      <c r="F35" s="88"/>
      <c r="G35" s="88"/>
      <c r="H35" s="88"/>
      <c r="I35" s="89"/>
      <c r="J35" s="8"/>
      <c r="K35" s="9"/>
      <c r="L35" s="31"/>
      <c r="M35" s="32"/>
      <c r="N35" s="33"/>
      <c r="O35" s="34"/>
      <c r="P35" s="34"/>
      <c r="Q35" s="34"/>
    </row>
    <row r="36" spans="1:20" ht="18.600000000000001" customHeight="1">
      <c r="A36" s="5" t="s">
        <v>42</v>
      </c>
      <c r="B36" s="10"/>
      <c r="C36" s="10" t="s">
        <v>59</v>
      </c>
      <c r="D36" s="10"/>
      <c r="E36" s="10"/>
      <c r="F36" s="10"/>
      <c r="G36" s="10"/>
      <c r="H36" s="10"/>
      <c r="I36" s="11"/>
      <c r="J36" s="8"/>
      <c r="K36" s="9"/>
      <c r="L36" s="31"/>
      <c r="M36" s="32"/>
      <c r="N36" s="33"/>
      <c r="O36" s="34"/>
      <c r="P36" s="34"/>
      <c r="Q36" s="34"/>
    </row>
    <row r="37" spans="1:20" ht="18.600000000000001" customHeight="1">
      <c r="A37" s="5" t="s">
        <v>43</v>
      </c>
      <c r="B37" s="10"/>
      <c r="C37" s="10" t="s">
        <v>44</v>
      </c>
      <c r="D37" s="10"/>
      <c r="E37" s="10"/>
      <c r="F37" s="10"/>
      <c r="G37" s="10"/>
      <c r="H37" s="10"/>
      <c r="I37" s="11"/>
      <c r="J37" s="8"/>
      <c r="K37" s="9"/>
      <c r="L37" s="31"/>
      <c r="M37" s="32"/>
      <c r="N37" s="33"/>
      <c r="O37" s="34"/>
      <c r="P37" s="34"/>
      <c r="Q37" s="34"/>
    </row>
    <row r="38" spans="1:20" ht="20.100000000000001" customHeight="1">
      <c r="A38" s="48"/>
      <c r="B38" s="48"/>
      <c r="C38" s="48"/>
      <c r="D38" s="48"/>
      <c r="E38" s="48"/>
      <c r="F38" s="48"/>
      <c r="G38" s="48"/>
      <c r="H38" s="48"/>
      <c r="I38" s="49"/>
      <c r="J38" s="46" t="s">
        <v>45</v>
      </c>
      <c r="K38" s="46"/>
      <c r="L38" s="50">
        <f>SUM(O22:O29)</f>
        <v>1821000</v>
      </c>
      <c r="M38" s="51"/>
      <c r="N38" s="51"/>
      <c r="O38" s="51"/>
      <c r="P38" s="51"/>
      <c r="Q38" s="52"/>
    </row>
    <row r="39" spans="1:20" ht="20.100000000000001" customHeight="1">
      <c r="A39" s="53"/>
      <c r="B39" s="53"/>
      <c r="C39" s="53"/>
      <c r="D39" s="53"/>
      <c r="E39" s="53"/>
      <c r="F39" s="53"/>
      <c r="G39" s="53"/>
      <c r="H39" s="53"/>
      <c r="I39" s="54"/>
      <c r="J39" s="57" t="s">
        <v>46</v>
      </c>
      <c r="K39" s="57"/>
      <c r="L39" s="50">
        <f>L38*$T$6</f>
        <v>182100</v>
      </c>
      <c r="M39" s="51"/>
      <c r="N39" s="51"/>
      <c r="O39" s="51"/>
      <c r="P39" s="51"/>
      <c r="Q39" s="52"/>
    </row>
    <row r="40" spans="1:20" ht="20.100000000000001" customHeight="1">
      <c r="A40" s="2"/>
      <c r="B40" s="2"/>
      <c r="C40" s="2"/>
      <c r="D40" s="2"/>
      <c r="E40" s="2"/>
      <c r="F40" s="2"/>
      <c r="G40" s="2"/>
      <c r="H40" s="2"/>
      <c r="I40" s="2"/>
      <c r="J40" s="46" t="s">
        <v>47</v>
      </c>
      <c r="K40" s="46"/>
      <c r="L40" s="55">
        <f>L38+L39</f>
        <v>2003100</v>
      </c>
      <c r="M40" s="56"/>
      <c r="N40" s="56"/>
      <c r="O40" s="56"/>
      <c r="P40" s="56"/>
      <c r="Q40" s="56"/>
    </row>
    <row r="41" spans="1:20">
      <c r="A41" s="46" t="s">
        <v>48</v>
      </c>
      <c r="B41" s="46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</row>
    <row r="42" spans="1:20">
      <c r="A42" s="46"/>
      <c r="B42" s="46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</row>
    <row r="43" spans="1:20" ht="19.8">
      <c r="A43" s="1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9.8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</sheetData>
  <mergeCells count="101">
    <mergeCell ref="A23:B23"/>
    <mergeCell ref="C23:I23"/>
    <mergeCell ref="A27:B27"/>
    <mergeCell ref="C27:I27"/>
    <mergeCell ref="L28:N28"/>
    <mergeCell ref="O28:Q28"/>
    <mergeCell ref="A29:I29"/>
    <mergeCell ref="L29:N29"/>
    <mergeCell ref="O29:Q29"/>
    <mergeCell ref="C17:D17"/>
    <mergeCell ref="F17:I17"/>
    <mergeCell ref="A35:I35"/>
    <mergeCell ref="L31:N31"/>
    <mergeCell ref="A22:B22"/>
    <mergeCell ref="A24:I24"/>
    <mergeCell ref="L24:N24"/>
    <mergeCell ref="L21:N21"/>
    <mergeCell ref="L18:N18"/>
    <mergeCell ref="L30:N30"/>
    <mergeCell ref="A30:I31"/>
    <mergeCell ref="A26:B26"/>
    <mergeCell ref="L26:N26"/>
    <mergeCell ref="L27:N27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41:B42"/>
    <mergeCell ref="C41:Q42"/>
    <mergeCell ref="A38:I38"/>
    <mergeCell ref="J38:K38"/>
    <mergeCell ref="L38:Q38"/>
    <mergeCell ref="A39:I39"/>
    <mergeCell ref="J40:K40"/>
    <mergeCell ref="L40:Q40"/>
    <mergeCell ref="J39:K39"/>
    <mergeCell ref="L39:Q39"/>
    <mergeCell ref="L37:N37"/>
    <mergeCell ref="O37:Q37"/>
    <mergeCell ref="L36:N36"/>
    <mergeCell ref="O36:Q36"/>
    <mergeCell ref="O31:Q31"/>
    <mergeCell ref="L35:N35"/>
    <mergeCell ref="O35:Q35"/>
    <mergeCell ref="O24:Q24"/>
    <mergeCell ref="O34:Q34"/>
    <mergeCell ref="L32:N32"/>
    <mergeCell ref="O32:Q32"/>
    <mergeCell ref="C34:I34"/>
    <mergeCell ref="C32:I32"/>
    <mergeCell ref="O25:Q25"/>
    <mergeCell ref="A25:I25"/>
    <mergeCell ref="O33:Q33"/>
    <mergeCell ref="L34:N34"/>
    <mergeCell ref="L33:N33"/>
    <mergeCell ref="L25:N25"/>
    <mergeCell ref="O30:Q30"/>
    <mergeCell ref="O26:Q26"/>
    <mergeCell ref="O27:Q27"/>
    <mergeCell ref="A28:I28"/>
  </mergeCells>
  <phoneticPr fontId="3"/>
  <dataValidations disablePrompts="1" count="1">
    <dataValidation type="list" allowBlank="1" showInputMessage="1" showErrorMessage="1" sqref="K17:K37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DNAC</vt:lpstr>
      <vt:lpstr>DNAC!Print_Area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2026-09-11T08:21:31Z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1.0.149</vt:lpwstr>
  </property>
  <property fmtid="{D5CDD505-2E9C-101B-9397-08002B2CF9AE}" pid="6" name="OfficeCLI.LastModified">
    <vt:lpwstr>2026-09-11T06:33:15Z</vt:lpwstr>
  </property>
</Properties>
</file>