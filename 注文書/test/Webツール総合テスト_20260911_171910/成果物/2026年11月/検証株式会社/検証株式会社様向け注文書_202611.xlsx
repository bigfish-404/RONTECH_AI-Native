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est\Webツール総合テスト_20260911_171910\成果物\2026年11月\検証株式会社\"/>
    </mc:Choice>
  </mc:AlternateContent>
  <xr:revisionPtr revIDLastSave="0" documentId="13_ncr:1_{1B05F912-F6DF-45BD-A51C-528F73329A4C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検証業務" sheetId="1" r:id="rId1"/>
  </sheets>
  <definedNames>
    <definedName name="_xlnm.Print_Area" localSheetId="0">検証業務!$A$1:$Q$40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O23" i="1"/>
  <c r="L34" i="1" s="1"/>
  <c r="C17" i="1"/>
  <c r="N4" i="1" s="1"/>
  <c r="F17" i="1"/>
  <c r="L35" i="1" l="1"/>
  <c r="L36" i="1"/>
  <c r="D14" i="1" s="1"/>
</calcChain>
</file>

<file path=xl/sharedStrings.xml><?xml version="1.0" encoding="utf-8"?>
<sst xmlns="http://schemas.openxmlformats.org/spreadsheetml/2006/main" count="63" uniqueCount="62">
  <si>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</si>
  <si>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</si>
  <si>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</si>
  <si>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</si>
  <si>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</si>
  <si>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</si>
  <si>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</si>
  <si>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</si>
  <si>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</si>
  <si>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</si>
  <si>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</si>
  <si>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</si>
  <si>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</si>
  <si>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</si>
  <si>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</si>
  <si>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</si>
  <si>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</si>
  <si>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</si>
  <si>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</si>
  <si>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</si>
  <si>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</si>
  <si>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</si>
  <si>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</si>
  <si>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</si>
  <si>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</si>
  <si>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</si>
  <si>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</si>
  <si>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</si>
  <si>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</si>
  <si>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</si>
  <si>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</si>
  <si>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</si>
  <si>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</si>
  <si>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</si>
  <si>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</si>
  <si>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</si>
  <si>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</si>
  <si>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</si>
  <si>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</si>
  <si>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</si>
  <si>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</si>
  <si>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</si>
  <si>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</si>
  <si>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</si>
  <si>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</si>
  <si>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</si>
  <si>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</si>
  <si>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</si>
  <si>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検証株式会社</t>
    <phoneticPr fontId="3"/>
  </si>
  <si>
    <t>検証業務</t>
    <phoneticPr fontId="3"/>
  </si>
  <si>
    <t>上記業務とそれに伴う附帯作業</t>
    <phoneticPr fontId="3"/>
  </si>
  <si>
    <t>検証　責任者</t>
    <phoneticPr fontId="4"/>
  </si>
  <si>
    <t>技術者</t>
  </si>
  <si>
    <t>試験　太郎</t>
  </si>
  <si>
    <t>基本時間　150h～180h</t>
  </si>
  <si>
    <t>人月</t>
  </si>
  <si>
    <t>超過単価（180h超過分）※10円未満切捨</t>
  </si>
  <si>
    <t>時間</t>
  </si>
  <si>
    <t>控除単価（150h不足分）※10円未満切捨</t>
  </si>
  <si>
    <t>※過不足の場合は別途調整、下限時間：営業日20日未満の場合は営業日×8時間となります。</t>
    <phoneticPr fontId="3"/>
  </si>
  <si>
    <t>検証　責任者</t>
    <phoneticPr fontId="3"/>
  </si>
  <si>
    <t>画面テスト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</si>
</sst>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46326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L36</f>
        <v>660000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DATE(2026,11,1)</f>
        <v>46327</v>
      </c>
      <c r="D17" s="84"/>
      <c r="E17" s="7" t="s">
        <v>30</v>
      </c>
      <c r="F17" s="85">
        <f>EOMONTH(C17,0)</f>
        <v>46356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0" t="s">
        <v>52</v>
      </c>
      <c r="B22" s="91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600000</v>
      </c>
      <c r="M23" s="82"/>
      <c r="N23" s="83"/>
      <c r="O23" s="25">
        <f>J23*L23</f>
        <v>600000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3330</v>
      </c>
      <c r="M24" s="82"/>
      <c r="N24" s="83"/>
      <c r="O24" s="25"/>
      <c r="P24" s="26"/>
      <c r="Q24" s="27"/>
      <c r="S24">
        <v>150</v>
      </c>
      <c r="T24">
        <v>180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-4000</v>
      </c>
      <c r="M25" s="44"/>
      <c r="N25" s="45"/>
      <c r="O25" s="25"/>
      <c r="P25" s="26"/>
      <c r="Q25" s="27"/>
    </row>
    <row r="26" spans="1:20" ht="18.600000000000001" customHeight="1">
      <c r="A26" s="92" t="s">
        <v>59</v>
      </c>
      <c r="B26" s="68"/>
      <c r="C26" s="68"/>
      <c r="D26" s="68"/>
      <c r="E26" s="68"/>
      <c r="F26" s="68"/>
      <c r="G26" s="68"/>
      <c r="H26" s="68"/>
      <c r="I26" s="93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94"/>
      <c r="B27" s="69"/>
      <c r="C27" s="69"/>
      <c r="D27" s="69"/>
      <c r="E27" s="69"/>
      <c r="F27" s="69"/>
      <c r="G27" s="69"/>
      <c r="H27" s="69"/>
      <c r="I27" s="95"/>
      <c r="J27" s="8"/>
      <c r="K27" s="9"/>
      <c r="L27" s="31"/>
      <c r="M27" s="32"/>
      <c r="N27" s="33"/>
      <c r="O27" s="34"/>
      <c r="P27" s="34"/>
      <c r="Q27" s="34"/>
    </row>
    <row r="28" spans="1:20">
      <c r="A28" s="15"/>
      <c r="B28" s="17"/>
      <c r="C28" s="37"/>
      <c r="D28" s="38"/>
      <c r="E28" s="38"/>
      <c r="F28" s="38"/>
      <c r="G28" s="38"/>
      <c r="H28" s="38"/>
      <c r="I28" s="39"/>
      <c r="J28" s="8"/>
      <c r="K28" s="9"/>
      <c r="L28" s="31"/>
      <c r="M28" s="32"/>
      <c r="N28" s="33"/>
      <c r="O28" s="34"/>
      <c r="P28" s="34"/>
      <c r="Q28" s="34"/>
    </row>
    <row r="29" spans="1:20">
      <c r="A29" s="5" t="s">
        <v>37</v>
      </c>
      <c r="B29" s="10"/>
      <c r="C29" s="24" t="s">
        <v>38</v>
      </c>
      <c r="D29" s="10"/>
      <c r="E29" s="10"/>
      <c r="F29" s="10"/>
      <c r="G29" s="10"/>
      <c r="H29" s="10"/>
      <c r="I29" s="11"/>
      <c r="J29" s="8"/>
      <c r="K29" s="9"/>
      <c r="L29" s="31"/>
      <c r="M29" s="32"/>
      <c r="N29" s="33"/>
      <c r="O29" s="34"/>
      <c r="P29" s="34"/>
      <c r="Q29" s="34"/>
    </row>
    <row r="30" spans="1:20" ht="29.1" customHeight="1">
      <c r="A30" s="5" t="s">
        <v>39</v>
      </c>
      <c r="B30" s="10"/>
      <c r="C30" s="35" t="s">
        <v>40</v>
      </c>
      <c r="D30" s="35"/>
      <c r="E30" s="35"/>
      <c r="F30" s="35"/>
      <c r="G30" s="35"/>
      <c r="H30" s="35"/>
      <c r="I30" s="36"/>
      <c r="J30" s="8"/>
      <c r="K30" s="9"/>
      <c r="L30" s="31"/>
      <c r="M30" s="32"/>
      <c r="N30" s="33"/>
      <c r="O30" s="28"/>
      <c r="P30" s="29"/>
      <c r="Q30" s="30"/>
    </row>
    <row r="31" spans="1:20" ht="18.600000000000001" customHeight="1">
      <c r="A31" s="87"/>
      <c r="B31" s="88"/>
      <c r="C31" s="88"/>
      <c r="D31" s="88"/>
      <c r="E31" s="88"/>
      <c r="F31" s="88"/>
      <c r="G31" s="88"/>
      <c r="H31" s="88"/>
      <c r="I31" s="89"/>
      <c r="J31" s="8"/>
      <c r="K31" s="9"/>
      <c r="L31" s="31"/>
      <c r="M31" s="32"/>
      <c r="N31" s="33"/>
      <c r="O31" s="34"/>
      <c r="P31" s="34"/>
      <c r="Q31" s="34"/>
    </row>
    <row r="32" spans="1:20" ht="18.600000000000001" customHeight="1">
      <c r="A32" s="5" t="s">
        <v>41</v>
      </c>
      <c r="B32" s="10"/>
      <c r="C32" s="10" t="s">
        <v>60</v>
      </c>
      <c r="D32" s="10"/>
      <c r="E32" s="10"/>
      <c r="F32" s="10"/>
      <c r="G32" s="10"/>
      <c r="H32" s="10"/>
      <c r="I32" s="11"/>
      <c r="J32" s="8"/>
      <c r="K32" s="9"/>
      <c r="L32" s="31"/>
      <c r="M32" s="32"/>
      <c r="N32" s="33"/>
      <c r="O32" s="34"/>
      <c r="P32" s="34"/>
      <c r="Q32" s="34"/>
    </row>
    <row r="33" spans="1:20" ht="18.600000000000001" customHeight="1">
      <c r="A33" s="5" t="s">
        <v>42</v>
      </c>
      <c r="B33" s="10"/>
      <c r="C33" s="10" t="s">
        <v>43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0.100000000000001" customHeight="1">
      <c r="A34" s="48"/>
      <c r="B34" s="48"/>
      <c r="C34" s="48"/>
      <c r="D34" s="48"/>
      <c r="E34" s="48"/>
      <c r="F34" s="48"/>
      <c r="G34" s="48"/>
      <c r="H34" s="48"/>
      <c r="I34" s="49"/>
      <c r="J34" s="46" t="s">
        <v>44</v>
      </c>
      <c r="K34" s="46"/>
      <c r="L34" s="50">
        <f>SUM(O22:O25)</f>
        <v>600000</v>
      </c>
      <c r="M34" s="51"/>
      <c r="N34" s="51"/>
      <c r="O34" s="51"/>
      <c r="P34" s="51"/>
      <c r="Q34" s="52"/>
    </row>
    <row r="35" spans="1:20" ht="20.100000000000001" customHeight="1">
      <c r="A35" s="53"/>
      <c r="B35" s="53"/>
      <c r="C35" s="53"/>
      <c r="D35" s="53"/>
      <c r="E35" s="53"/>
      <c r="F35" s="53"/>
      <c r="G35" s="53"/>
      <c r="H35" s="53"/>
      <c r="I35" s="54"/>
      <c r="J35" s="57" t="s">
        <v>45</v>
      </c>
      <c r="K35" s="57"/>
      <c r="L35" s="50">
        <f>L34*$T$6</f>
        <v>60000</v>
      </c>
      <c r="M35" s="51"/>
      <c r="N35" s="51"/>
      <c r="O35" s="51"/>
      <c r="P35" s="51"/>
      <c r="Q35" s="52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46" t="s">
        <v>46</v>
      </c>
      <c r="K36" s="46"/>
      <c r="L36" s="55">
        <f>L34+L35</f>
        <v>660000</v>
      </c>
      <c r="M36" s="56"/>
      <c r="N36" s="56"/>
      <c r="O36" s="56"/>
      <c r="P36" s="56"/>
      <c r="Q36" s="56"/>
    </row>
    <row r="37" spans="1:20" ht="19.05" customHeight="1">
      <c r="A37" s="46" t="s">
        <v>47</v>
      </c>
      <c r="B37" s="46"/>
      <c r="C37" s="47" t="s">
        <v>61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  <row r="38" spans="1:20" ht="19.05" customHeight="1">
      <c r="A38" s="46"/>
      <c r="B38" s="46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</row>
    <row r="39" spans="1:20" ht="19.8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7">
    <mergeCell ref="C17:D17"/>
    <mergeCell ref="F17:I17"/>
    <mergeCell ref="A31:I31"/>
    <mergeCell ref="L27:N27"/>
    <mergeCell ref="A22:B22"/>
    <mergeCell ref="A23:I23"/>
    <mergeCell ref="A24:I24"/>
    <mergeCell ref="L24:N24"/>
    <mergeCell ref="L21:N21"/>
    <mergeCell ref="L18:N18"/>
    <mergeCell ref="L26:N26"/>
    <mergeCell ref="A26:I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37:B38"/>
    <mergeCell ref="C37:Q38"/>
    <mergeCell ref="A34:I34"/>
    <mergeCell ref="J34:K34"/>
    <mergeCell ref="L34:Q34"/>
    <mergeCell ref="A35:I35"/>
    <mergeCell ref="J36:K36"/>
    <mergeCell ref="L36:Q36"/>
    <mergeCell ref="J35:K35"/>
    <mergeCell ref="L35:Q35"/>
    <mergeCell ref="L33:N33"/>
    <mergeCell ref="O33:Q33"/>
    <mergeCell ref="L32:N32"/>
    <mergeCell ref="O32:Q32"/>
    <mergeCell ref="O27:Q27"/>
    <mergeCell ref="L31:N31"/>
    <mergeCell ref="O31:Q31"/>
    <mergeCell ref="O24:Q24"/>
    <mergeCell ref="O30:Q30"/>
    <mergeCell ref="L28:N28"/>
    <mergeCell ref="O28:Q28"/>
    <mergeCell ref="C30:I30"/>
    <mergeCell ref="C28:I28"/>
    <mergeCell ref="O25:Q25"/>
    <mergeCell ref="A25:I25"/>
    <mergeCell ref="O29:Q29"/>
    <mergeCell ref="L30:N30"/>
    <mergeCell ref="L29:N29"/>
    <mergeCell ref="L25:N25"/>
    <mergeCell ref="O26:Q26"/>
  </mergeCells>
  <phoneticPr fontId="3"/>
  <dataValidations disablePrompts="1" count="1">
    <dataValidation type="list" allowBlank="1" showInputMessage="1" showErrorMessage="1" sqref="K17:K33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検証業務</vt:lpstr>
      <vt:lpstr>検証業務!Print_Area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2026-09-11T08:21:27Z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