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多人数テスト\成果物\2027-04\多人数テスト株式会社\"/>
    </mc:Choice>
  </mc:AlternateContent>
  <xr:revisionPtr revIDLastSave="0" documentId="13_ncr:1_{B9EC2B82-148E-4035-B93E-8A0E51DE9A2F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大規模案件" sheetId="1" r:id="rId1"/>
  </sheets>
  <definedNames>
    <definedName name="_xlnm.Print_Area" localSheetId="0">大規模案件!$A$1:$Q$56</definedName>
    <definedName name="_xlnm.Print_Titles" localSheetId="0">大規模案件!$1:$21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" l="1"/>
  <c r="L40" i="1"/>
  <c r="O39" i="1"/>
  <c r="O34" i="1"/>
  <c r="L33" i="1"/>
  <c r="L32" i="1"/>
  <c r="O31" i="1"/>
  <c r="O26" i="1"/>
  <c r="L25" i="1"/>
  <c r="L24" i="1"/>
  <c r="O23" i="1"/>
  <c r="L50" i="1" s="1"/>
  <c r="C17" i="1"/>
  <c r="L51" i="1" l="1"/>
  <c r="L52" i="1" s="1"/>
  <c r="D14" i="1" s="1"/>
  <c r="N4" i="1"/>
  <c r="F17" i="1"/>
</calcChain>
</file>

<file path=xl/sharedStrings.xml><?xml version="1.0" encoding="utf-8"?>
<sst xmlns="http://schemas.openxmlformats.org/spreadsheetml/2006/main" count="89" uniqueCount="72">
  <si>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</si>
  <si>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</si>
  <si>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</si>
  <si>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</si>
  <si>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</si>
  <si>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</si>
  <si>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</si>
  <si>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</si>
  <si>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</si>
  <si>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</si>
  <si>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</si>
  <si>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</si>
  <si>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</si>
  <si>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</si>
  <si>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</si>
  <si>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</si>
  <si>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</si>
  <si>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</si>
  <si>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</si>
  <si>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</si>
  <si>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</si>
  <si>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</si>
  <si>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</si>
  <si>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</si>
  <si>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</si>
  <si>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</si>
  <si>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</si>
  <si>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</si>
  <si>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</si>
  <si>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</si>
  <si>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</si>
  <si>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</si>
  <si>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</si>
  <si>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</si>
  <si>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</si>
  <si>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</si>
  <si>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</si>
  <si>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</si>
  <si>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</si>
  <si>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</si>
  <si>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</si>
  <si>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</si>
  <si>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</si>
  <si>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</si>
  <si>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</si>
  <si>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</si>
  <si>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</si>
  <si>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</si>
  <si>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多人数テスト株式会社</t>
    <phoneticPr fontId="3"/>
  </si>
  <si>
    <t>大規模案件</t>
    <phoneticPr fontId="3"/>
  </si>
  <si>
    <t>設計から総合試験</t>
    <phoneticPr fontId="3"/>
  </si>
  <si>
    <t>田中　責任者</t>
    <phoneticPr fontId="4"/>
  </si>
  <si>
    <t>技術者</t>
  </si>
  <si>
    <t>技術者　一</t>
  </si>
  <si>
    <t>基本時間　160h～180h</t>
  </si>
  <si>
    <t>人月</t>
  </si>
  <si>
    <t>超過単価（180h超過分）※10円未満切捨</t>
  </si>
  <si>
    <t>時間</t>
  </si>
  <si>
    <t>控除単価（160h不足分）※10円未満切捨</t>
  </si>
  <si>
    <t>技術者、料金</t>
  </si>
  <si>
    <t>技術者　二</t>
  </si>
  <si>
    <t>基準時間</t>
  </si>
  <si>
    <t>月基準作業時間（150h～200h）
過不足あった場合は別途調整
※作業時間が200時間超えそうな場合には、事前にPMへ報告願います</t>
  </si>
  <si>
    <t>技術者　三</t>
  </si>
  <si>
    <t>基本時間　150h～190h</t>
  </si>
  <si>
    <t>超過単価（190h超過分）※10円未満切捨</t>
  </si>
  <si>
    <t>控除単価（150h不足分）※10円未満切捨</t>
  </si>
  <si>
    <t>技術者　四</t>
  </si>
  <si>
    <t>技術者　五</t>
  </si>
  <si>
    <t>※過不足の場合は別途調整、下限時間：営業日20日未満の場合は営業日×8時間となります。</t>
    <phoneticPr fontId="3"/>
  </si>
  <si>
    <t>田中　責任者</t>
    <phoneticPr fontId="3"/>
  </si>
  <si>
    <t>長い備考の表示テストです。複数の技術者を同じ案件にまとめた場合でも、備考欄が自動的に折り返され、注文書の下部で読みやすく表示されることを確認します。
二行目の備考も正しく表示します。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</si>
</sst>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56"/>
  <sheetViews>
    <sheetView tabSelected="1" topLeftCell="A11" zoomScaleNormal="100" workbookViewId="0">
      <selection activeCell="J34" sqref="J34:Q34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48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46477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51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L52</f>
        <v>2695000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20">
      <c r="A17" s="5" t="s">
        <v>29</v>
      </c>
      <c r="B17" s="6"/>
      <c r="C17" s="84">
        <f>DATE(2027,4,1)</f>
        <v>46478</v>
      </c>
      <c r="D17" s="85"/>
      <c r="E17" s="7" t="s">
        <v>30</v>
      </c>
      <c r="F17" s="86">
        <f>EOMONTH(C17,0)</f>
        <v>46507</v>
      </c>
      <c r="G17" s="86"/>
      <c r="H17" s="86"/>
      <c r="I17" s="87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49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50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1" t="s">
        <v>52</v>
      </c>
      <c r="B22" s="92"/>
      <c r="C22" s="13" t="s">
        <v>53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54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1">
        <v>430000</v>
      </c>
      <c r="M23" s="82"/>
      <c r="N23" s="83"/>
      <c r="O23" s="25">
        <f>J23*L23</f>
        <v>430000</v>
      </c>
      <c r="P23" s="26"/>
      <c r="Q23" s="27"/>
    </row>
    <row r="24" spans="1:20" ht="18.600000000000001" customHeight="1">
      <c r="A24" s="40" t="s">
        <v>56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57</v>
      </c>
      <c r="L24" s="81">
        <f>ROUNDDOWN(L23/$T$24,-1)</f>
        <v>2380</v>
      </c>
      <c r="M24" s="82"/>
      <c r="N24" s="83"/>
      <c r="O24" s="25"/>
      <c r="P24" s="26"/>
      <c r="Q24" s="27"/>
      <c r="S24">
        <v>160</v>
      </c>
      <c r="T24">
        <v>180</v>
      </c>
    </row>
    <row r="25" spans="1:20" ht="18.600000000000001" customHeight="1">
      <c r="A25" s="40" t="s">
        <v>58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57</v>
      </c>
      <c r="L25" s="43">
        <f>ROUNDDOWN(-L23/$S$24,-1)</f>
        <v>-2680</v>
      </c>
      <c r="M25" s="44"/>
      <c r="N25" s="45"/>
      <c r="O25" s="25"/>
      <c r="P25" s="26"/>
      <c r="Q25" s="27"/>
    </row>
    <row r="26" spans="1:20" ht="18.600000000000001" customHeight="1">
      <c r="A26" s="91" t="s">
        <v>59</v>
      </c>
      <c r="B26" s="92"/>
      <c r="C26" s="13" t="s">
        <v>60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1">
        <v>500000</v>
      </c>
      <c r="M26" s="82"/>
      <c r="N26" s="83"/>
      <c r="O26" s="25">
        <f>J26*L26</f>
        <v>500000</v>
      </c>
      <c r="P26" s="26"/>
      <c r="Q26" s="27"/>
    </row>
    <row r="27" spans="1:20" ht="48" customHeight="1">
      <c r="A27" s="40" t="s">
        <v>61</v>
      </c>
      <c r="B27" s="41"/>
      <c r="C27" s="99" t="s">
        <v>62</v>
      </c>
      <c r="D27" s="97"/>
      <c r="E27" s="97"/>
      <c r="F27" s="97"/>
      <c r="G27" s="97"/>
      <c r="H27" s="97"/>
      <c r="I27" s="98"/>
      <c r="J27" s="8"/>
      <c r="K27" s="9"/>
      <c r="L27" s="81"/>
      <c r="M27" s="82"/>
      <c r="N27" s="83"/>
      <c r="O27" s="25"/>
      <c r="P27" s="26"/>
      <c r="Q27" s="27"/>
    </row>
    <row r="28" spans="1:20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1"/>
      <c r="M28" s="82"/>
      <c r="N28" s="83"/>
      <c r="O28" s="25"/>
      <c r="P28" s="26"/>
      <c r="Q28" s="27"/>
    </row>
    <row r="29" spans="1:20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20" ht="18.600000000000001" customHeight="1">
      <c r="A30" s="91" t="s">
        <v>52</v>
      </c>
      <c r="B30" s="92"/>
      <c r="C30" s="13" t="s">
        <v>63</v>
      </c>
      <c r="D30" s="13"/>
      <c r="E30" s="13"/>
      <c r="F30" s="13"/>
      <c r="G30" s="13"/>
      <c r="H30" s="13"/>
      <c r="I30" s="14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40" t="s">
        <v>64</v>
      </c>
      <c r="B31" s="41"/>
      <c r="C31" s="41"/>
      <c r="D31" s="41"/>
      <c r="E31" s="41"/>
      <c r="F31" s="41"/>
      <c r="G31" s="41"/>
      <c r="H31" s="41"/>
      <c r="I31" s="42"/>
      <c r="J31" s="8">
        <v>1</v>
      </c>
      <c r="K31" s="9" t="s">
        <v>55</v>
      </c>
      <c r="L31" s="81">
        <v>450000</v>
      </c>
      <c r="M31" s="82"/>
      <c r="N31" s="83"/>
      <c r="O31" s="25">
        <f>J31*L31</f>
        <v>450000</v>
      </c>
      <c r="P31" s="26"/>
      <c r="Q31" s="27"/>
    </row>
    <row r="32" spans="1:20" ht="18.600000000000001" customHeight="1">
      <c r="A32" s="40" t="s">
        <v>65</v>
      </c>
      <c r="B32" s="41"/>
      <c r="C32" s="41"/>
      <c r="D32" s="41"/>
      <c r="E32" s="41"/>
      <c r="F32" s="41"/>
      <c r="G32" s="41"/>
      <c r="H32" s="41"/>
      <c r="I32" s="42"/>
      <c r="J32" s="8"/>
      <c r="K32" s="9" t="s">
        <v>57</v>
      </c>
      <c r="L32" s="81">
        <f>ROUNDDOWN(L31/$T$32,-1)</f>
        <v>2360</v>
      </c>
      <c r="M32" s="82"/>
      <c r="N32" s="83"/>
      <c r="O32" s="25"/>
      <c r="P32" s="26"/>
      <c r="Q32" s="27"/>
      <c r="S32">
        <v>150</v>
      </c>
      <c r="T32">
        <v>190</v>
      </c>
    </row>
    <row r="33" spans="1:20" ht="18.600000000000001" customHeight="1">
      <c r="A33" s="40" t="s">
        <v>66</v>
      </c>
      <c r="B33" s="41"/>
      <c r="C33" s="41"/>
      <c r="D33" s="41"/>
      <c r="E33" s="41"/>
      <c r="F33" s="41"/>
      <c r="G33" s="41"/>
      <c r="H33" s="41"/>
      <c r="I33" s="42"/>
      <c r="J33" s="8"/>
      <c r="K33" s="9" t="s">
        <v>57</v>
      </c>
      <c r="L33" s="43">
        <f>ROUNDDOWN(-L31/$S$32,-1)</f>
        <v>-3000</v>
      </c>
      <c r="M33" s="44"/>
      <c r="N33" s="45"/>
      <c r="O33" s="25"/>
      <c r="P33" s="26"/>
      <c r="Q33" s="27"/>
    </row>
    <row r="34" spans="1:20" ht="18.600000000000001" customHeight="1">
      <c r="A34" s="91" t="s">
        <v>59</v>
      </c>
      <c r="B34" s="92"/>
      <c r="C34" s="13" t="s">
        <v>67</v>
      </c>
      <c r="D34" s="13"/>
      <c r="E34" s="13"/>
      <c r="F34" s="13"/>
      <c r="G34" s="13"/>
      <c r="H34" s="13"/>
      <c r="I34" s="14"/>
      <c r="J34" s="8">
        <v>1</v>
      </c>
      <c r="K34" s="9" t="s">
        <v>55</v>
      </c>
      <c r="L34" s="81">
        <v>550000</v>
      </c>
      <c r="M34" s="82"/>
      <c r="N34" s="83"/>
      <c r="O34" s="25">
        <f>J34*L34</f>
        <v>550000</v>
      </c>
      <c r="P34" s="26"/>
      <c r="Q34" s="27"/>
    </row>
    <row r="35" spans="1:20" ht="48" customHeight="1">
      <c r="A35" s="40" t="s">
        <v>61</v>
      </c>
      <c r="B35" s="41"/>
      <c r="C35" s="99" t="s">
        <v>62</v>
      </c>
      <c r="D35" s="97"/>
      <c r="E35" s="97"/>
      <c r="F35" s="97"/>
      <c r="G35" s="97"/>
      <c r="H35" s="97"/>
      <c r="I35" s="98"/>
      <c r="J35" s="8"/>
      <c r="K35" s="9"/>
      <c r="L35" s="81"/>
      <c r="M35" s="82"/>
      <c r="N35" s="83"/>
      <c r="O35" s="25"/>
      <c r="P35" s="26"/>
      <c r="Q35" s="27"/>
    </row>
    <row r="36" spans="1:20" ht="18.600000000000001" hidden="1" customHeight="1">
      <c r="A36" s="40"/>
      <c r="B36" s="41"/>
      <c r="C36" s="41"/>
      <c r="D36" s="41"/>
      <c r="E36" s="41"/>
      <c r="F36" s="41"/>
      <c r="G36" s="41"/>
      <c r="H36" s="41"/>
      <c r="I36" s="42"/>
      <c r="J36" s="8"/>
      <c r="K36" s="9"/>
      <c r="L36" s="81"/>
      <c r="M36" s="82"/>
      <c r="N36" s="83"/>
      <c r="O36" s="25"/>
      <c r="P36" s="26"/>
      <c r="Q36" s="27"/>
    </row>
    <row r="37" spans="1:20" ht="18.600000000000001" hidden="1" customHeight="1">
      <c r="A37" s="40"/>
      <c r="B37" s="41"/>
      <c r="C37" s="41"/>
      <c r="D37" s="41"/>
      <c r="E37" s="41"/>
      <c r="F37" s="41"/>
      <c r="G37" s="41"/>
      <c r="H37" s="41"/>
      <c r="I37" s="42"/>
      <c r="J37" s="8"/>
      <c r="K37" s="9"/>
      <c r="L37" s="43"/>
      <c r="M37" s="44"/>
      <c r="N37" s="45"/>
      <c r="O37" s="25"/>
      <c r="P37" s="26"/>
      <c r="Q37" s="27"/>
    </row>
    <row r="38" spans="1:20" ht="18.600000000000001" customHeight="1">
      <c r="A38" s="91" t="s">
        <v>52</v>
      </c>
      <c r="B38" s="92"/>
      <c r="C38" s="13" t="s">
        <v>68</v>
      </c>
      <c r="D38" s="13"/>
      <c r="E38" s="13"/>
      <c r="F38" s="13"/>
      <c r="G38" s="13"/>
      <c r="H38" s="13"/>
      <c r="I38" s="14"/>
      <c r="J38" s="8"/>
      <c r="K38" s="9"/>
      <c r="L38" s="31"/>
      <c r="M38" s="32"/>
      <c r="N38" s="33"/>
      <c r="O38" s="34"/>
      <c r="P38" s="34"/>
      <c r="Q38" s="34"/>
    </row>
    <row r="39" spans="1:20" ht="18.600000000000001" customHeight="1">
      <c r="A39" s="40" t="s">
        <v>64</v>
      </c>
      <c r="B39" s="41"/>
      <c r="C39" s="41"/>
      <c r="D39" s="41"/>
      <c r="E39" s="41"/>
      <c r="F39" s="41"/>
      <c r="G39" s="41"/>
      <c r="H39" s="41"/>
      <c r="I39" s="42"/>
      <c r="J39" s="8">
        <v>1</v>
      </c>
      <c r="K39" s="9" t="s">
        <v>55</v>
      </c>
      <c r="L39" s="81">
        <v>520000</v>
      </c>
      <c r="M39" s="82"/>
      <c r="N39" s="83"/>
      <c r="O39" s="25">
        <f>J39*L39</f>
        <v>520000</v>
      </c>
      <c r="P39" s="26"/>
      <c r="Q39" s="27"/>
    </row>
    <row r="40" spans="1:20" ht="18.600000000000001" customHeight="1">
      <c r="A40" s="40" t="s">
        <v>65</v>
      </c>
      <c r="B40" s="41"/>
      <c r="C40" s="41"/>
      <c r="D40" s="41"/>
      <c r="E40" s="41"/>
      <c r="F40" s="41"/>
      <c r="G40" s="41"/>
      <c r="H40" s="41"/>
      <c r="I40" s="42"/>
      <c r="J40" s="8"/>
      <c r="K40" s="9" t="s">
        <v>57</v>
      </c>
      <c r="L40" s="81">
        <f>ROUNDDOWN(L39/$T$40,-1)</f>
        <v>2730</v>
      </c>
      <c r="M40" s="82"/>
      <c r="N40" s="83"/>
      <c r="O40" s="25"/>
      <c r="P40" s="26"/>
      <c r="Q40" s="27"/>
      <c r="S40">
        <v>150</v>
      </c>
      <c r="T40">
        <v>190</v>
      </c>
    </row>
    <row r="41" spans="1:20" ht="18.600000000000001" customHeight="1">
      <c r="A41" s="40" t="s">
        <v>66</v>
      </c>
      <c r="B41" s="41"/>
      <c r="C41" s="41"/>
      <c r="D41" s="41"/>
      <c r="E41" s="41"/>
      <c r="F41" s="41"/>
      <c r="G41" s="41"/>
      <c r="H41" s="41"/>
      <c r="I41" s="42"/>
      <c r="J41" s="8"/>
      <c r="K41" s="9" t="s">
        <v>57</v>
      </c>
      <c r="L41" s="43">
        <f>ROUNDDOWN(-L39/$S$40,-1)</f>
        <v>-3460</v>
      </c>
      <c r="M41" s="44"/>
      <c r="N41" s="45"/>
      <c r="O41" s="25"/>
      <c r="P41" s="26"/>
      <c r="Q41" s="27"/>
    </row>
    <row r="42" spans="1:20" ht="18.600000000000001" customHeight="1">
      <c r="A42" s="93" t="s">
        <v>69</v>
      </c>
      <c r="B42" s="68"/>
      <c r="C42" s="68"/>
      <c r="D42" s="68"/>
      <c r="E42" s="68"/>
      <c r="F42" s="68"/>
      <c r="G42" s="68"/>
      <c r="H42" s="68"/>
      <c r="I42" s="94"/>
      <c r="J42" s="8"/>
      <c r="K42" s="9"/>
      <c r="L42" s="31"/>
      <c r="M42" s="32"/>
      <c r="N42" s="33"/>
      <c r="O42" s="34"/>
      <c r="P42" s="34"/>
      <c r="Q42" s="34"/>
    </row>
    <row r="43" spans="1:20" ht="18.600000000000001" customHeight="1">
      <c r="A43" s="95"/>
      <c r="B43" s="69"/>
      <c r="C43" s="69"/>
      <c r="D43" s="69"/>
      <c r="E43" s="69"/>
      <c r="F43" s="69"/>
      <c r="G43" s="69"/>
      <c r="H43" s="69"/>
      <c r="I43" s="96"/>
      <c r="J43" s="8"/>
      <c r="K43" s="9"/>
      <c r="L43" s="31"/>
      <c r="M43" s="32"/>
      <c r="N43" s="33"/>
      <c r="O43" s="34"/>
      <c r="P43" s="34"/>
      <c r="Q43" s="34"/>
    </row>
    <row r="44" spans="1:20">
      <c r="A44" s="15"/>
      <c r="B44" s="17"/>
      <c r="C44" s="37"/>
      <c r="D44" s="38"/>
      <c r="E44" s="38"/>
      <c r="F44" s="38"/>
      <c r="G44" s="38"/>
      <c r="H44" s="38"/>
      <c r="I44" s="39"/>
      <c r="J44" s="8"/>
      <c r="K44" s="9"/>
      <c r="L44" s="31"/>
      <c r="M44" s="32"/>
      <c r="N44" s="33"/>
      <c r="O44" s="34"/>
      <c r="P44" s="34"/>
      <c r="Q44" s="34"/>
    </row>
    <row r="45" spans="1:20">
      <c r="A45" s="5" t="s">
        <v>37</v>
      </c>
      <c r="B45" s="10"/>
      <c r="C45" s="24" t="s">
        <v>38</v>
      </c>
      <c r="D45" s="10"/>
      <c r="E45" s="10"/>
      <c r="F45" s="10"/>
      <c r="G45" s="10"/>
      <c r="H45" s="10"/>
      <c r="I45" s="11"/>
      <c r="J45" s="8"/>
      <c r="K45" s="9"/>
      <c r="L45" s="31"/>
      <c r="M45" s="32"/>
      <c r="N45" s="33"/>
      <c r="O45" s="34"/>
      <c r="P45" s="34"/>
      <c r="Q45" s="34"/>
    </row>
    <row r="46" spans="1:20" ht="29.1" customHeight="1">
      <c r="A46" s="5" t="s">
        <v>39</v>
      </c>
      <c r="B46" s="10"/>
      <c r="C46" s="35" t="s">
        <v>40</v>
      </c>
      <c r="D46" s="35"/>
      <c r="E46" s="35"/>
      <c r="F46" s="35"/>
      <c r="G46" s="35"/>
      <c r="H46" s="35"/>
      <c r="I46" s="36"/>
      <c r="J46" s="8"/>
      <c r="K46" s="9"/>
      <c r="L46" s="31"/>
      <c r="M46" s="32"/>
      <c r="N46" s="33"/>
      <c r="O46" s="28"/>
      <c r="P46" s="29"/>
      <c r="Q46" s="30"/>
    </row>
    <row r="47" spans="1:20" ht="18.600000000000001" customHeight="1">
      <c r="A47" s="88"/>
      <c r="B47" s="89"/>
      <c r="C47" s="89"/>
      <c r="D47" s="89"/>
      <c r="E47" s="89"/>
      <c r="F47" s="89"/>
      <c r="G47" s="89"/>
      <c r="H47" s="89"/>
      <c r="I47" s="90"/>
      <c r="J47" s="8"/>
      <c r="K47" s="9"/>
      <c r="L47" s="31"/>
      <c r="M47" s="32"/>
      <c r="N47" s="33"/>
      <c r="O47" s="34"/>
      <c r="P47" s="34"/>
      <c r="Q47" s="34"/>
    </row>
    <row r="48" spans="1:20" ht="18.600000000000001" customHeight="1">
      <c r="A48" s="5" t="s">
        <v>41</v>
      </c>
      <c r="B48" s="10"/>
      <c r="C48" s="10" t="s">
        <v>70</v>
      </c>
      <c r="D48" s="10"/>
      <c r="E48" s="10"/>
      <c r="F48" s="10"/>
      <c r="G48" s="10"/>
      <c r="H48" s="10"/>
      <c r="I48" s="11"/>
      <c r="J48" s="8"/>
      <c r="K48" s="9"/>
      <c r="L48" s="31"/>
      <c r="M48" s="32"/>
      <c r="N48" s="33"/>
      <c r="O48" s="34"/>
      <c r="P48" s="34"/>
      <c r="Q48" s="34"/>
    </row>
    <row r="49" spans="1:20" ht="18.600000000000001" customHeight="1">
      <c r="A49" s="5" t="s">
        <v>42</v>
      </c>
      <c r="B49" s="10"/>
      <c r="C49" s="10" t="s">
        <v>43</v>
      </c>
      <c r="D49" s="10"/>
      <c r="E49" s="10"/>
      <c r="F49" s="10"/>
      <c r="G49" s="10"/>
      <c r="H49" s="10"/>
      <c r="I49" s="11"/>
      <c r="J49" s="8"/>
      <c r="K49" s="9"/>
      <c r="L49" s="31"/>
      <c r="M49" s="32"/>
      <c r="N49" s="33"/>
      <c r="O49" s="34"/>
      <c r="P49" s="34"/>
      <c r="Q49" s="34"/>
    </row>
    <row r="50" spans="1:20" ht="20.100000000000001" customHeight="1">
      <c r="A50" s="48"/>
      <c r="B50" s="48"/>
      <c r="C50" s="48"/>
      <c r="D50" s="48"/>
      <c r="E50" s="48"/>
      <c r="F50" s="48"/>
      <c r="G50" s="48"/>
      <c r="H50" s="48"/>
      <c r="I50" s="49"/>
      <c r="J50" s="46" t="s">
        <v>44</v>
      </c>
      <c r="K50" s="46"/>
      <c r="L50" s="50">
        <f>SUM(O22:O41)</f>
        <v>2450000</v>
      </c>
      <c r="M50" s="51"/>
      <c r="N50" s="51"/>
      <c r="O50" s="51"/>
      <c r="P50" s="51"/>
      <c r="Q50" s="52"/>
    </row>
    <row r="51" spans="1:20" ht="20.100000000000001" customHeight="1">
      <c r="A51" s="53"/>
      <c r="B51" s="53"/>
      <c r="C51" s="53"/>
      <c r="D51" s="53"/>
      <c r="E51" s="53"/>
      <c r="F51" s="53"/>
      <c r="G51" s="53"/>
      <c r="H51" s="53"/>
      <c r="I51" s="54"/>
      <c r="J51" s="57" t="s">
        <v>45</v>
      </c>
      <c r="K51" s="57"/>
      <c r="L51" s="50">
        <f>L50*$T$6</f>
        <v>245000</v>
      </c>
      <c r="M51" s="51"/>
      <c r="N51" s="51"/>
      <c r="O51" s="51"/>
      <c r="P51" s="51"/>
      <c r="Q51" s="52"/>
    </row>
    <row r="52" spans="1:20" ht="20.100000000000001" customHeight="1">
      <c r="A52" s="2"/>
      <c r="B52" s="2"/>
      <c r="C52" s="2"/>
      <c r="D52" s="2"/>
      <c r="E52" s="2"/>
      <c r="F52" s="2"/>
      <c r="G52" s="2"/>
      <c r="H52" s="2"/>
      <c r="I52" s="2"/>
      <c r="J52" s="46" t="s">
        <v>46</v>
      </c>
      <c r="K52" s="46"/>
      <c r="L52" s="55">
        <f>L50+L51</f>
        <v>2695000</v>
      </c>
      <c r="M52" s="56"/>
      <c r="N52" s="56"/>
      <c r="O52" s="56"/>
      <c r="P52" s="56"/>
      <c r="Q52" s="56"/>
    </row>
    <row r="53" spans="1:20" ht="21" customHeight="1">
      <c r="A53" s="46" t="s">
        <v>47</v>
      </c>
      <c r="B53" s="46"/>
      <c r="C53" s="47" t="s">
        <v>71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</row>
    <row r="54" spans="1:20" ht="21" customHeight="1">
      <c r="A54" s="46"/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</row>
    <row r="55" spans="1:20" ht="19.8">
      <c r="A55" s="1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9.8">
      <c r="A56" s="1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</sheetData>
  <mergeCells count="137">
    <mergeCell ref="A27:B27"/>
    <mergeCell ref="C27:I27"/>
    <mergeCell ref="A35:B35"/>
    <mergeCell ref="C35:I35"/>
    <mergeCell ref="A40:I40"/>
    <mergeCell ref="L40:N40"/>
    <mergeCell ref="O40:Q40"/>
    <mergeCell ref="A41:I41"/>
    <mergeCell ref="L41:N41"/>
    <mergeCell ref="O41:Q41"/>
    <mergeCell ref="A38:B38"/>
    <mergeCell ref="L38:N38"/>
    <mergeCell ref="O38:Q38"/>
    <mergeCell ref="A39:I39"/>
    <mergeCell ref="L39:N39"/>
    <mergeCell ref="O39:Q39"/>
    <mergeCell ref="A36:I36"/>
    <mergeCell ref="L36:N36"/>
    <mergeCell ref="O36:Q36"/>
    <mergeCell ref="A37:I37"/>
    <mergeCell ref="L37:N37"/>
    <mergeCell ref="O37:Q37"/>
    <mergeCell ref="A34:B34"/>
    <mergeCell ref="L34:N34"/>
    <mergeCell ref="O34:Q34"/>
    <mergeCell ref="L35:N35"/>
    <mergeCell ref="O35:Q35"/>
    <mergeCell ref="A32:I32"/>
    <mergeCell ref="L32:N32"/>
    <mergeCell ref="O32:Q32"/>
    <mergeCell ref="A33:I33"/>
    <mergeCell ref="L33:N33"/>
    <mergeCell ref="O33:Q33"/>
    <mergeCell ref="A30:B30"/>
    <mergeCell ref="L30:N30"/>
    <mergeCell ref="O30:Q30"/>
    <mergeCell ref="A31:I31"/>
    <mergeCell ref="L31:N31"/>
    <mergeCell ref="O31:Q31"/>
    <mergeCell ref="L28:N28"/>
    <mergeCell ref="O28:Q28"/>
    <mergeCell ref="A29:I29"/>
    <mergeCell ref="L29:N29"/>
    <mergeCell ref="O29:Q29"/>
    <mergeCell ref="C17:D17"/>
    <mergeCell ref="F17:I17"/>
    <mergeCell ref="A47:I47"/>
    <mergeCell ref="L43:N43"/>
    <mergeCell ref="A22:B22"/>
    <mergeCell ref="A23:I23"/>
    <mergeCell ref="A24:I24"/>
    <mergeCell ref="L24:N24"/>
    <mergeCell ref="L21:N21"/>
    <mergeCell ref="L18:N18"/>
    <mergeCell ref="L42:N42"/>
    <mergeCell ref="A42:I43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53:B54"/>
    <mergeCell ref="C53:Q54"/>
    <mergeCell ref="A50:I50"/>
    <mergeCell ref="J50:K50"/>
    <mergeCell ref="L50:Q50"/>
    <mergeCell ref="A51:I51"/>
    <mergeCell ref="J52:K52"/>
    <mergeCell ref="L52:Q52"/>
    <mergeCell ref="J51:K51"/>
    <mergeCell ref="L51:Q51"/>
    <mergeCell ref="L49:N49"/>
    <mergeCell ref="O49:Q49"/>
    <mergeCell ref="L48:N48"/>
    <mergeCell ref="O48:Q48"/>
    <mergeCell ref="O43:Q43"/>
    <mergeCell ref="L47:N47"/>
    <mergeCell ref="O47:Q47"/>
    <mergeCell ref="O24:Q24"/>
    <mergeCell ref="O46:Q46"/>
    <mergeCell ref="L44:N44"/>
    <mergeCell ref="O44:Q44"/>
    <mergeCell ref="C46:I46"/>
    <mergeCell ref="C44:I44"/>
    <mergeCell ref="O25:Q25"/>
    <mergeCell ref="A25:I25"/>
    <mergeCell ref="O45:Q45"/>
    <mergeCell ref="L46:N46"/>
    <mergeCell ref="L45:N45"/>
    <mergeCell ref="L25:N25"/>
    <mergeCell ref="O42:Q42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49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fitToHeight="0" orientation="portrait" r:id="rId1"/>
  <rowBreaks count="2" manualBreakCount="2">
    <brk id="29" max="16" man="1"/>
    <brk id="37" max="1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大規模案件</vt:lpstr>
      <vt:lpstr>大規模案件!Print_Area</vt:lpstr>
      <vt:lpstr>大規模案件!Print_Titles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2026-09-11T02:23:15Z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