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案件テスト\成果物\2027-02（5）\別会社株式会社\"/>
    </mc:Choice>
  </mc:AlternateContent>
  <xr:revisionPtr revIDLastSave="0" documentId="13_ncr:1_{42A469FA-D604-4160-96B0-4C294D044B32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固定案件" sheetId="1" r:id="rId1"/>
  </sheets>
  <definedNames>
    <definedName name="_xlnm.Print_Area" localSheetId="0">固定案件!$A$1:$Q$40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L34" i="1" s="1"/>
  <c r="C17" i="1"/>
  <c r="L35" i="1" l="1"/>
  <c r="L36" i="1" s="1"/>
  <c r="D14" i="1" s="1"/>
  <c r="F17" i="1"/>
  <c r="N4" i="1"/>
</calcChain>
</file>

<file path=xl/sharedStrings.xml><?xml version="1.0" encoding="utf-8"?>
<sst xmlns="http://schemas.openxmlformats.org/spreadsheetml/2006/main" count="60" uniqueCount="60">
  <si>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</si>
  <si>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</si>
  <si>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</si>
  <si>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</si>
  <si>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</si>
  <si>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</si>
  <si>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</si>
  <si>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</si>
  <si>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</si>
  <si>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</si>
  <si>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</si>
  <si>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</si>
  <si>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</si>
  <si>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</si>
  <si>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</si>
  <si>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</si>
  <si>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</si>
  <si>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</si>
  <si>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</si>
  <si>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</si>
  <si>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</si>
  <si>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</si>
  <si>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</si>
  <si>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</si>
  <si>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</si>
  <si>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</si>
  <si>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</si>
  <si>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</si>
  <si>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</si>
  <si>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</si>
  <si>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</si>
  <si>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</si>
  <si>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</si>
  <si>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</si>
  <si>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</si>
  <si>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</si>
  <si>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</si>
  <si>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</si>
  <si>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</si>
  <si>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</si>
  <si>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</si>
  <si>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</si>
  <si>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</si>
  <si>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</si>
  <si>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</si>
  <si>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</si>
  <si>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</si>
  <si>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</si>
  <si>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</si>
  <si>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別会社株式会社</t>
    <phoneticPr fontId="3"/>
  </si>
  <si>
    <t>固定案件</t>
    <phoneticPr fontId="3"/>
  </si>
  <si>
    <t>運用保守</t>
    <phoneticPr fontId="3"/>
  </si>
  <si>
    <t>山田　責任者</t>
    <phoneticPr fontId="4"/>
  </si>
  <si>
    <t>技術者、料金</t>
  </si>
  <si>
    <t>別会社　一郎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</si>
  <si>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</si>
  <si>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</si>
  <si>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</si>
  <si>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山田　責任者</t>
    <phoneticPr fontId="3"/>
  </si>
  <si>
    <t>別会社の備考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</si>
</sst>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49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52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L36</f>
        <v>770000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17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2" t="s">
        <v>53</v>
      </c>
      <c r="B22" s="93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700000</v>
      </c>
      <c r="M22" s="83"/>
      <c r="N22" s="84"/>
      <c r="O22" s="25">
        <f>J22*L22</f>
        <v>700000</v>
      </c>
      <c r="P22" s="26"/>
      <c r="Q22" s="27"/>
    </row>
    <row r="23" spans="1:17" ht="48" customHeight="1">
      <c r="A23" s="40" t="s">
        <v>56</v>
      </c>
      <c r="B23" s="41"/>
      <c r="C23" s="98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hidden="1" customHeight="1">
      <c r="A26" s="94" t="s">
        <v>37</v>
      </c>
      <c r="B26" s="69"/>
      <c r="C26" s="69"/>
      <c r="D26" s="69"/>
      <c r="E26" s="69"/>
      <c r="F26" s="69"/>
      <c r="G26" s="69"/>
      <c r="H26" s="69"/>
      <c r="I26" s="95"/>
      <c r="J26" s="8"/>
      <c r="K26" s="9"/>
      <c r="L26" s="31"/>
      <c r="M26" s="32"/>
      <c r="N26" s="33"/>
      <c r="O26" s="34"/>
      <c r="P26" s="34"/>
      <c r="Q26" s="34"/>
    </row>
    <row r="27" spans="1:17" ht="18.600000000000001" hidden="1" customHeight="1">
      <c r="A27" s="96"/>
      <c r="B27" s="70"/>
      <c r="C27" s="70"/>
      <c r="D27" s="70"/>
      <c r="E27" s="70"/>
      <c r="F27" s="70"/>
      <c r="G27" s="70"/>
      <c r="H27" s="70"/>
      <c r="I27" s="97"/>
      <c r="J27" s="8"/>
      <c r="K27" s="9"/>
      <c r="L27" s="31"/>
      <c r="M27" s="32"/>
      <c r="N27" s="33"/>
      <c r="O27" s="34"/>
      <c r="P27" s="34"/>
      <c r="Q27" s="34"/>
    </row>
    <row r="28" spans="1:17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17">
      <c r="A29" s="5" t="s">
        <v>38</v>
      </c>
      <c r="B29" s="10"/>
      <c r="C29" s="24" t="s">
        <v>39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17" ht="29.1" customHeight="1">
      <c r="A30" s="5" t="s">
        <v>40</v>
      </c>
      <c r="B30" s="10"/>
      <c r="C30" s="35" t="s">
        <v>41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17" ht="18.600000000000001" customHeight="1">
      <c r="A31" s="89"/>
      <c r="B31" s="90"/>
      <c r="C31" s="90"/>
      <c r="D31" s="90"/>
      <c r="E31" s="90"/>
      <c r="F31" s="90"/>
      <c r="G31" s="90"/>
      <c r="H31" s="90"/>
      <c r="I31" s="91"/>
      <c r="J31" s="8"/>
      <c r="K31" s="9"/>
      <c r="L31" s="31"/>
      <c r="M31" s="32"/>
      <c r="N31" s="33"/>
      <c r="O31" s="34"/>
      <c r="P31" s="34"/>
      <c r="Q31" s="34"/>
    </row>
    <row r="32" spans="1:17" ht="18.600000000000001" customHeight="1">
      <c r="A32" s="5" t="s">
        <v>42</v>
      </c>
      <c r="B32" s="10"/>
      <c r="C32" s="10" t="s">
        <v>58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43</v>
      </c>
      <c r="B33" s="10"/>
      <c r="C33" s="10" t="s">
        <v>44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9"/>
      <c r="B34" s="49"/>
      <c r="C34" s="49"/>
      <c r="D34" s="49"/>
      <c r="E34" s="49"/>
      <c r="F34" s="49"/>
      <c r="G34" s="49"/>
      <c r="H34" s="49"/>
      <c r="I34" s="50"/>
      <c r="J34" s="46" t="s">
        <v>45</v>
      </c>
      <c r="K34" s="46"/>
      <c r="L34" s="51">
        <f>SUM(O22:O25)</f>
        <v>700000</v>
      </c>
      <c r="M34" s="52"/>
      <c r="N34" s="52"/>
      <c r="O34" s="52"/>
      <c r="P34" s="52"/>
      <c r="Q34" s="53"/>
    </row>
    <row r="35" spans="1:20" ht="20.100000000000001" customHeight="1">
      <c r="A35" s="54"/>
      <c r="B35" s="54"/>
      <c r="C35" s="54"/>
      <c r="D35" s="54"/>
      <c r="E35" s="54"/>
      <c r="F35" s="54"/>
      <c r="G35" s="54"/>
      <c r="H35" s="54"/>
      <c r="I35" s="55"/>
      <c r="J35" s="58" t="s">
        <v>46</v>
      </c>
      <c r="K35" s="58"/>
      <c r="L35" s="51">
        <f>L34*$T$6</f>
        <v>70000</v>
      </c>
      <c r="M35" s="52"/>
      <c r="N35" s="52"/>
      <c r="O35" s="52"/>
      <c r="P35" s="52"/>
      <c r="Q35" s="53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47</v>
      </c>
      <c r="K36" s="46"/>
      <c r="L36" s="56">
        <f>L34+L35</f>
        <v>770000</v>
      </c>
      <c r="M36" s="57"/>
      <c r="N36" s="57"/>
      <c r="O36" s="57"/>
      <c r="P36" s="57"/>
      <c r="Q36" s="57"/>
    </row>
    <row r="37" spans="1:20">
      <c r="A37" s="46" t="s">
        <v>48</v>
      </c>
      <c r="B37" s="46"/>
      <c r="C37" s="47" t="s">
        <v>59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20">
      <c r="A38" s="46"/>
      <c r="B38" s="46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8">
    <mergeCell ref="C17:D17"/>
    <mergeCell ref="F17:I17"/>
    <mergeCell ref="A31:I31"/>
    <mergeCell ref="L27:N27"/>
    <mergeCell ref="A22:B22"/>
    <mergeCell ref="A24:I24"/>
    <mergeCell ref="L24:N24"/>
    <mergeCell ref="L21:N21"/>
    <mergeCell ref="L18:N18"/>
    <mergeCell ref="L26:N26"/>
    <mergeCell ref="A26:I27"/>
    <mergeCell ref="A23:B23"/>
    <mergeCell ref="C23:I23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固定案件</vt:lpstr>
      <vt:lpstr>固定案件!Print_Area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