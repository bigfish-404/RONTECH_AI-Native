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\X\rontechAI\注文書\tmp\統合テンプレート案件テスト\成果物\2027-02（4）\別会社株式会社\"/>
    </mc:Choice>
  </mc:AlternateContent>
  <xr:revisionPtr revIDLastSave="0" documentId="13_ncr:1_{A8FA6AF0-785F-4DB2-9BDC-A33E50BBD0D5}" xr6:coauthVersionLast="47" xr6:coauthVersionMax="47" xr10:uidLastSave="{00000000-0000-0000-0000-000000000000}"/>
  <bookViews>
    <workbookView xWindow="768" yWindow="768" windowWidth="17280" windowHeight="8880" xr2:uid="{1562F2A9-65A0-4474-B221-BEB7ABDB720F}"/>
  </bookViews>
  <sheets>
    <sheet name="固定案件" sheetId="1" r:id="rId1"/>
  </sheets>
  <definedNames>
    <definedName name="_xlnm.Print_Area" localSheetId="0">固定案件!$A$1:$Q$40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2" i="1" l="1"/>
  <c r="L34" i="1" s="1"/>
  <c r="C17" i="1"/>
  <c r="N4" i="1" s="1"/>
  <c r="F17" i="1"/>
  <c r="L35" i="1" l="1"/>
  <c r="L36" i="1" s="1"/>
  <c r="D14" i="1" s="1"/>
</calcChain>
</file>

<file path=xl/sharedStrings.xml><?xml version="1.0" encoding="utf-8"?>
<sst xmlns="http://schemas.openxmlformats.org/spreadsheetml/2006/main" count="60" uniqueCount="60">
  <si>
    <t>注　文　書</t>
    <phoneticPr fontId="3"/>
  </si>
  <si>
    <t>御中</t>
    <phoneticPr fontId="3"/>
  </si>
  <si>
    <t>発注日</t>
    <phoneticPr fontId="3"/>
  </si>
  <si>
    <t xml:space="preserve"> 件名：システム開発支援</t>
    <rPh sb="8" eb="10">
      <t>カイハツ</t>
    </rPh>
    <phoneticPr fontId="3"/>
  </si>
  <si>
    <t>株式会社ロンテック</t>
    <rPh sb="0" eb="4">
      <t>カブシキガイシャ</t>
    </rPh>
    <phoneticPr fontId="4"/>
  </si>
  <si>
    <t>人月</t>
    <rPh sb="0" eb="2">
      <t>ニンゲツ</t>
    </rPh>
    <phoneticPr fontId="4"/>
  </si>
  <si>
    <t>下記のとおり、発注致します。</t>
    <phoneticPr fontId="3"/>
  </si>
  <si>
    <t>〒108-0014</t>
    <phoneticPr fontId="4"/>
  </si>
  <si>
    <t>式</t>
    <rPh sb="0" eb="1">
      <t>シキ</t>
    </rPh>
    <phoneticPr fontId="4"/>
  </si>
  <si>
    <t>東京都港区芝4-9-1</t>
    <rPh sb="0" eb="3">
      <t>トウキョウト</t>
    </rPh>
    <rPh sb="3" eb="4">
      <t>ミナト</t>
    </rPh>
    <rPh sb="4" eb="5">
      <t>ク</t>
    </rPh>
    <rPh sb="5" eb="6">
      <t>シバ</t>
    </rPh>
    <phoneticPr fontId="4"/>
  </si>
  <si>
    <t>時間</t>
    <rPh sb="0" eb="2">
      <t>ジカン</t>
    </rPh>
    <phoneticPr fontId="4"/>
  </si>
  <si>
    <t>アヴェ二ュ一芝四丁目ビル7階</t>
    <phoneticPr fontId="4"/>
  </si>
  <si>
    <t>日</t>
    <rPh sb="0" eb="1">
      <t>ニチ</t>
    </rPh>
    <phoneticPr fontId="4"/>
  </si>
  <si>
    <t>検収期限：</t>
    <rPh sb="0" eb="2">
      <t>ケンシュウ</t>
    </rPh>
    <rPh sb="2" eb="4">
      <t>キゲン</t>
    </rPh>
    <phoneticPr fontId="4"/>
  </si>
  <si>
    <t>当月分を当月月末検収とする</t>
    <rPh sb="0" eb="3">
      <t>トウゲツブン</t>
    </rPh>
    <rPh sb="4" eb="6">
      <t>トウゲツ</t>
    </rPh>
    <rPh sb="6" eb="8">
      <t>ゲツマツ</t>
    </rPh>
    <rPh sb="8" eb="10">
      <t>ケンシュウ</t>
    </rPh>
    <phoneticPr fontId="4"/>
  </si>
  <si>
    <t>TEL：</t>
    <phoneticPr fontId="4"/>
  </si>
  <si>
    <t>03-6809-4505</t>
    <phoneticPr fontId="4"/>
  </si>
  <si>
    <t>ヶ月</t>
    <rPh sb="1" eb="2">
      <t>ゲツ</t>
    </rPh>
    <phoneticPr fontId="4"/>
  </si>
  <si>
    <t>検収完了後翌々月１５日現金支払い
※銀行休日の場合、翌営業日支払とする</t>
    <rPh sb="0" eb="2">
      <t>ケンシュウ</t>
    </rPh>
    <rPh sb="2" eb="4">
      <t>カンリョウ</t>
    </rPh>
    <rPh sb="4" eb="5">
      <t>ゴ</t>
    </rPh>
    <rPh sb="5" eb="7">
      <t>ヨクヨク</t>
    </rPh>
    <rPh sb="7" eb="8">
      <t>ツキ</t>
    </rPh>
    <rPh sb="10" eb="11">
      <t>ニチ</t>
    </rPh>
    <rPh sb="11" eb="13">
      <t>ゲンキン</t>
    </rPh>
    <rPh sb="13" eb="15">
      <t>シハラ</t>
    </rPh>
    <rPh sb="18" eb="20">
      <t>ギンコウ</t>
    </rPh>
    <rPh sb="20" eb="22">
      <t>キュウジツ</t>
    </rPh>
    <rPh sb="23" eb="25">
      <t>バアイ</t>
    </rPh>
    <rPh sb="26" eb="27">
      <t>ヨク</t>
    </rPh>
    <rPh sb="27" eb="30">
      <t>エイギョウビ</t>
    </rPh>
    <rPh sb="30" eb="32">
      <t>シハライ</t>
    </rPh>
    <phoneticPr fontId="4"/>
  </si>
  <si>
    <t>FAX：</t>
    <phoneticPr fontId="4"/>
  </si>
  <si>
    <t>03-6809-4506</t>
    <phoneticPr fontId="4"/>
  </si>
  <si>
    <t>支払条件：</t>
    <rPh sb="0" eb="4">
      <t>シハライジョウケン</t>
    </rPh>
    <phoneticPr fontId="4"/>
  </si>
  <si>
    <t>担当：</t>
    <rPh sb="0" eb="2">
      <t>タントウ</t>
    </rPh>
    <phoneticPr fontId="4"/>
  </si>
  <si>
    <t>合計金額</t>
    <rPh sb="0" eb="2">
      <t>ゴウケイ</t>
    </rPh>
    <rPh sb="2" eb="4">
      <t>キンガク</t>
    </rPh>
    <phoneticPr fontId="4"/>
  </si>
  <si>
    <t>（税込）</t>
    <rPh sb="1" eb="3">
      <t>ゼイコ</t>
    </rPh>
    <phoneticPr fontId="4"/>
  </si>
  <si>
    <t>注文条件等</t>
    <rPh sb="0" eb="2">
      <t>チュウモン</t>
    </rPh>
    <rPh sb="2" eb="4">
      <t>ジョウケン</t>
    </rPh>
    <rPh sb="4" eb="5">
      <t>ナド</t>
    </rPh>
    <phoneticPr fontId="4"/>
  </si>
  <si>
    <t>数量</t>
    <rPh sb="0" eb="2">
      <t>スウリョウ</t>
    </rPh>
    <phoneticPr fontId="4"/>
  </si>
  <si>
    <t>単価</t>
    <rPh sb="0" eb="2">
      <t>タンカ</t>
    </rPh>
    <phoneticPr fontId="4"/>
  </si>
  <si>
    <t>金額</t>
    <rPh sb="0" eb="2">
      <t>キンガク</t>
    </rPh>
    <phoneticPr fontId="4"/>
  </si>
  <si>
    <t>期間</t>
    <phoneticPr fontId="4"/>
  </si>
  <si>
    <t>～</t>
    <phoneticPr fontId="4"/>
  </si>
  <si>
    <t>業務内容　</t>
    <rPh sb="0" eb="2">
      <t>ギョウム</t>
    </rPh>
    <rPh sb="2" eb="4">
      <t>ナイヨウ</t>
    </rPh>
    <phoneticPr fontId="4"/>
  </si>
  <si>
    <t>工程範囲</t>
    <rPh sb="0" eb="2">
      <t>コウテイ</t>
    </rPh>
    <rPh sb="2" eb="4">
      <t>ハンイ</t>
    </rPh>
    <phoneticPr fontId="4"/>
  </si>
  <si>
    <t>契約形態</t>
    <rPh sb="0" eb="2">
      <t>ケイヤク</t>
    </rPh>
    <rPh sb="2" eb="4">
      <t>ケイタイ</t>
    </rPh>
    <phoneticPr fontId="4"/>
  </si>
  <si>
    <t>業務委託　SES</t>
    <phoneticPr fontId="4"/>
  </si>
  <si>
    <t>作業場所</t>
    <rPh sb="0" eb="2">
      <t>サギョウ</t>
    </rPh>
    <rPh sb="2" eb="4">
      <t>バショ</t>
    </rPh>
    <phoneticPr fontId="4"/>
  </si>
  <si>
    <t>(株)ロンテック指定場所</t>
    <phoneticPr fontId="4"/>
  </si>
  <si>
    <t>※過不足の場合は別途調整、下限時間：営業日20日未満の場合は営業日×8時間となります。</t>
    <rPh sb="13" eb="15">
      <t>カゲン</t>
    </rPh>
    <rPh sb="15" eb="17">
      <t>ジカン</t>
    </rPh>
    <rPh sb="18" eb="21">
      <t>エイギョウビ</t>
    </rPh>
    <rPh sb="23" eb="24">
      <t>ニチ</t>
    </rPh>
    <rPh sb="24" eb="26">
      <t>ミマン</t>
    </rPh>
    <rPh sb="27" eb="29">
      <t>バアイ</t>
    </rPh>
    <rPh sb="30" eb="33">
      <t>エイギョウビ</t>
    </rPh>
    <rPh sb="35" eb="37">
      <t>ジカン</t>
    </rPh>
    <phoneticPr fontId="3"/>
  </si>
  <si>
    <t>旅費交通費</t>
    <rPh sb="0" eb="2">
      <t>リョヒ</t>
    </rPh>
    <rPh sb="2" eb="5">
      <t>コウツウヒ</t>
    </rPh>
    <phoneticPr fontId="4"/>
  </si>
  <si>
    <t>特に指定のない限り委託料金に含めるものとする</t>
    <phoneticPr fontId="4"/>
  </si>
  <si>
    <t>納品物</t>
  </si>
  <si>
    <t>稼働報告
稼働実施報告書を毎月最終営業日までにご連絡ください</t>
    <rPh sb="7" eb="9">
      <t>ジッシ</t>
    </rPh>
    <rPh sb="11" eb="12">
      <t>ショ</t>
    </rPh>
    <rPh sb="15" eb="17">
      <t>サイシュウ</t>
    </rPh>
    <rPh sb="17" eb="20">
      <t>エイギョウビ</t>
    </rPh>
    <phoneticPr fontId="3"/>
  </si>
  <si>
    <t>弊社責任者</t>
    <rPh sb="0" eb="2">
      <t>ヘイシャ</t>
    </rPh>
    <rPh sb="2" eb="5">
      <t>セキニンシャ</t>
    </rPh>
    <phoneticPr fontId="4"/>
  </si>
  <si>
    <t>その他</t>
    <phoneticPr fontId="4"/>
  </si>
  <si>
    <t>上記以外は、両者協議の上決定する</t>
    <phoneticPr fontId="4"/>
  </si>
  <si>
    <t>小計</t>
    <rPh sb="0" eb="2">
      <t>ショウケイ</t>
    </rPh>
    <phoneticPr fontId="4"/>
  </si>
  <si>
    <t>消費税(10%)</t>
    <rPh sb="0" eb="3">
      <t>ショウヒゼイ</t>
    </rPh>
    <phoneticPr fontId="4"/>
  </si>
  <si>
    <t>合計</t>
    <rPh sb="0" eb="2">
      <t>ゴウケイ</t>
    </rPh>
    <phoneticPr fontId="4"/>
  </si>
  <si>
    <t>備考</t>
    <rPh sb="0" eb="2">
      <t>ビコウ</t>
    </rPh>
    <phoneticPr fontId="4"/>
  </si>
  <si>
    <t>別会社株式会社</t>
    <phoneticPr fontId="3"/>
  </si>
  <si>
    <t>固定案件</t>
    <phoneticPr fontId="3"/>
  </si>
  <si>
    <t>運用保守</t>
    <phoneticPr fontId="3"/>
  </si>
  <si>
    <t>山田　責任者</t>
    <phoneticPr fontId="4"/>
  </si>
  <si>
    <t>技術者、料金</t>
  </si>
  <si>
    <t>別会社　一郎</t>
  </si>
  <si>
    <t>人月</t>
  </si>
  <si>
    <t>基準時間</t>
  </si>
  <si>
    <t>月基準作業時間（150h～200h）
過不足あった場合は別途調整
※作業時間が200時間超えそうな場合には、事前にPMへ報告願います</t>
  </si>
  <si>
    <t>山田　責任者</t>
    <phoneticPr fontId="3"/>
  </si>
  <si>
    <t>別会社の備考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</si>
</sst>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[$-F800]dddd\,\ mmmm\ dd\,\ yyyy"/>
    <numFmt numFmtId="177" formatCode="#,##0;[Red]\-#,##0&quot;（税込）&quot;"/>
  </numFmts>
  <fonts count="22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6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100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9" fontId="10" fillId="0" borderId="0" xfId="3" applyFont="1">
      <alignment vertical="center"/>
    </xf>
    <xf numFmtId="0" fontId="8" fillId="0" borderId="0" xfId="0" applyFont="1" applyAlignment="1" applyProtection="1">
      <alignment horizontal="right" vertical="center"/>
      <protection locked="0"/>
    </xf>
    <xf numFmtId="0" fontId="11" fillId="0" borderId="4" xfId="0" applyFont="1" applyBorder="1" applyProtection="1">
      <alignment vertical="center"/>
      <protection locked="0"/>
    </xf>
    <xf numFmtId="31" fontId="11" fillId="0" borderId="5" xfId="0" applyNumberFormat="1" applyFont="1" applyBorder="1" applyProtection="1">
      <alignment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6" xfId="0" applyBorder="1" applyAlignment="1">
      <alignment horizontal="center" vertical="center"/>
    </xf>
    <xf numFmtId="0" fontId="11" fillId="0" borderId="5" xfId="0" applyFont="1" applyBorder="1" applyProtection="1">
      <alignment vertical="center"/>
      <protection locked="0"/>
    </xf>
    <xf numFmtId="0" fontId="11" fillId="0" borderId="6" xfId="0" applyFont="1" applyBorder="1" applyProtection="1">
      <alignment vertical="center"/>
      <protection locked="0"/>
    </xf>
    <xf numFmtId="0" fontId="15" fillId="0" borderId="0" xfId="4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9" fillId="0" borderId="4" xfId="0" applyFont="1" applyBorder="1" applyProtection="1">
      <alignment vertical="center"/>
      <protection locked="0"/>
    </xf>
    <xf numFmtId="0" fontId="19" fillId="0" borderId="5" xfId="0" applyFont="1" applyBorder="1" applyProtection="1">
      <alignment vertical="center"/>
      <protection locked="0"/>
    </xf>
    <xf numFmtId="0" fontId="20" fillId="0" borderId="5" xfId="0" applyFont="1" applyBorder="1" applyProtection="1">
      <alignment vertical="center"/>
      <protection locked="0"/>
    </xf>
    <xf numFmtId="38" fontId="0" fillId="0" borderId="4" xfId="1" applyFont="1" applyBorder="1" applyAlignment="1" applyProtection="1">
      <alignment horizontal="right" vertical="center"/>
      <protection locked="0"/>
    </xf>
    <xf numFmtId="38" fontId="0" fillId="0" borderId="5" xfId="1" applyFont="1" applyBorder="1" applyAlignment="1" applyProtection="1">
      <alignment horizontal="right" vertical="center"/>
      <protection locked="0"/>
    </xf>
    <xf numFmtId="38" fontId="0" fillId="0" borderId="6" xfId="1" applyFont="1" applyBorder="1" applyAlignment="1" applyProtection="1">
      <alignment horizontal="right" vertical="center"/>
      <protection locked="0"/>
    </xf>
    <xf numFmtId="6" fontId="0" fillId="0" borderId="4" xfId="2" applyFont="1" applyBorder="1" applyAlignment="1" applyProtection="1">
      <alignment horizontal="right" vertical="center"/>
    </xf>
    <xf numFmtId="6" fontId="0" fillId="0" borderId="5" xfId="2" applyFont="1" applyBorder="1" applyAlignment="1" applyProtection="1">
      <alignment horizontal="right" vertical="center"/>
    </xf>
    <xf numFmtId="6" fontId="0" fillId="0" borderId="6" xfId="2" applyFont="1" applyBorder="1" applyAlignment="1" applyProtection="1">
      <alignment horizontal="right" vertical="center"/>
    </xf>
    <xf numFmtId="0" fontId="13" fillId="0" borderId="5" xfId="0" applyFont="1" applyBorder="1" applyProtection="1">
      <alignment vertical="center"/>
      <protection locked="0"/>
    </xf>
    <xf numFmtId="6" fontId="0" fillId="0" borderId="4" xfId="2" applyFont="1" applyFill="1" applyBorder="1" applyAlignment="1" applyProtection="1">
      <alignment horizontal="right" vertical="center"/>
    </xf>
    <xf numFmtId="6" fontId="0" fillId="0" borderId="5" xfId="2" applyFont="1" applyFill="1" applyBorder="1" applyAlignment="1" applyProtection="1">
      <alignment horizontal="right" vertical="center"/>
    </xf>
    <xf numFmtId="6" fontId="0" fillId="0" borderId="6" xfId="2" applyFont="1" applyFill="1" applyBorder="1" applyAlignment="1" applyProtection="1">
      <alignment horizontal="right" vertical="center"/>
    </xf>
    <xf numFmtId="6" fontId="0" fillId="0" borderId="4" xfId="2" applyFont="1" applyBorder="1" applyAlignment="1" applyProtection="1">
      <alignment horizontal="right" vertical="center"/>
    </xf>
    <xf numFmtId="6" fontId="0" fillId="0" borderId="5" xfId="2" applyFont="1" applyBorder="1" applyAlignment="1" applyProtection="1">
      <alignment horizontal="right" vertical="center"/>
    </xf>
    <xf numFmtId="6" fontId="0" fillId="0" borderId="6" xfId="2" applyFont="1" applyBorder="1" applyAlignment="1" applyProtection="1">
      <alignment horizontal="right" vertical="center"/>
    </xf>
    <xf numFmtId="38" fontId="0" fillId="0" borderId="4" xfId="1" applyFont="1" applyBorder="1" applyAlignment="1" applyProtection="1">
      <alignment horizontal="right" vertical="center"/>
      <protection locked="0"/>
    </xf>
    <xf numFmtId="38" fontId="0" fillId="0" borderId="5" xfId="1" applyFont="1" applyBorder="1" applyAlignment="1" applyProtection="1">
      <alignment horizontal="right" vertical="center"/>
      <protection locked="0"/>
    </xf>
    <xf numFmtId="38" fontId="0" fillId="0" borderId="6" xfId="1" applyFont="1" applyBorder="1" applyAlignment="1" applyProtection="1">
      <alignment horizontal="right" vertical="center"/>
      <protection locked="0"/>
    </xf>
    <xf numFmtId="6" fontId="0" fillId="0" borderId="7" xfId="2" applyFont="1" applyBorder="1" applyAlignment="1" applyProtection="1">
      <alignment horizontal="right" vertical="center"/>
    </xf>
    <xf numFmtId="0" fontId="13" fillId="0" borderId="5" xfId="0" applyFont="1" applyBorder="1" applyAlignment="1" applyProtection="1">
      <alignment vertical="center" wrapText="1"/>
      <protection locked="0"/>
    </xf>
    <xf numFmtId="0" fontId="13" fillId="0" borderId="6" xfId="0" applyFont="1" applyBorder="1" applyAlignment="1" applyProtection="1">
      <alignment vertical="center" wrapText="1"/>
      <protection locked="0"/>
    </xf>
    <xf numFmtId="0" fontId="19" fillId="0" borderId="5" xfId="0" applyFont="1" applyBorder="1" applyAlignment="1" applyProtection="1">
      <alignment horizontal="left" vertical="center" wrapText="1"/>
      <protection locked="0"/>
    </xf>
    <xf numFmtId="0" fontId="19" fillId="0" borderId="5" xfId="0" applyFont="1" applyBorder="1" applyAlignment="1" applyProtection="1">
      <alignment horizontal="left" vertical="center"/>
      <protection locked="0"/>
    </xf>
    <xf numFmtId="0" fontId="19" fillId="0" borderId="6" xfId="0" applyFont="1" applyBorder="1" applyAlignment="1" applyProtection="1">
      <alignment horizontal="left" vertical="center"/>
      <protection locked="0"/>
    </xf>
    <xf numFmtId="0" fontId="16" fillId="0" borderId="4" xfId="0" applyFont="1" applyBorder="1" applyAlignment="1" applyProtection="1">
      <alignment horizontal="left" vertical="center"/>
      <protection locked="0"/>
    </xf>
    <xf numFmtId="0" fontId="16" fillId="0" borderId="5" xfId="0" applyFont="1" applyBorder="1" applyAlignment="1" applyProtection="1">
      <alignment horizontal="left" vertical="center"/>
      <protection locked="0"/>
    </xf>
    <xf numFmtId="0" fontId="16" fillId="0" borderId="6" xfId="0" applyFont="1" applyBorder="1" applyAlignment="1" applyProtection="1">
      <alignment horizontal="left" vertical="center"/>
      <protection locked="0"/>
    </xf>
    <xf numFmtId="3" fontId="16" fillId="0" borderId="4" xfId="1" applyNumberFormat="1" applyFont="1" applyFill="1" applyBorder="1" applyAlignment="1" applyProtection="1">
      <alignment horizontal="right" vertical="center"/>
      <protection locked="0"/>
    </xf>
    <xf numFmtId="3" fontId="16" fillId="0" borderId="5" xfId="1" applyNumberFormat="1" applyFont="1" applyFill="1" applyBorder="1" applyAlignment="1" applyProtection="1">
      <alignment horizontal="right" vertical="center"/>
      <protection locked="0"/>
    </xf>
    <xf numFmtId="3" fontId="16" fillId="0" borderId="6" xfId="1" applyNumberFormat="1" applyFont="1" applyFill="1" applyBorder="1" applyAlignment="1" applyProtection="1">
      <alignment horizontal="right" vertical="center"/>
      <protection locked="0"/>
    </xf>
    <xf numFmtId="0" fontId="14" fillId="0" borderId="7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left" vertical="top" wrapText="1"/>
      <protection locked="0"/>
    </xf>
    <xf numFmtId="0" fontId="11" fillId="0" borderId="7" xfId="0" applyFont="1" applyBorder="1" applyAlignment="1" applyProtection="1">
      <alignment horizontal="left" vertical="top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0" fillId="0" borderId="8" xfId="0" applyBorder="1" applyAlignment="1" applyProtection="1">
      <alignment horizontal="left" vertical="center"/>
      <protection locked="0"/>
    </xf>
    <xf numFmtId="6" fontId="0" fillId="0" borderId="4" xfId="1" applyNumberFormat="1" applyFont="1" applyBorder="1" applyAlignment="1" applyProtection="1">
      <alignment horizontal="right" vertical="center"/>
      <protection locked="0"/>
    </xf>
    <xf numFmtId="6" fontId="0" fillId="0" borderId="5" xfId="1" applyNumberFormat="1" applyFont="1" applyBorder="1" applyAlignment="1" applyProtection="1">
      <alignment horizontal="right" vertical="center"/>
      <protection locked="0"/>
    </xf>
    <xf numFmtId="6" fontId="0" fillId="0" borderId="6" xfId="1" applyNumberFormat="1" applyFont="1" applyBorder="1" applyAlignment="1" applyProtection="1">
      <alignment horizontal="righ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/>
      <protection locked="0"/>
    </xf>
    <xf numFmtId="6" fontId="0" fillId="0" borderId="7" xfId="0" applyNumberFormat="1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18" fillId="0" borderId="7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7" fillId="0" borderId="0" xfId="0" applyFont="1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176" fontId="8" fillId="0" borderId="0" xfId="0" applyNumberFormat="1" applyFont="1" applyAlignment="1" applyProtection="1">
      <alignment horizontal="left" vertical="center"/>
      <protection locked="0"/>
    </xf>
    <xf numFmtId="0" fontId="17" fillId="0" borderId="2" xfId="0" applyFont="1" applyBorder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0" fontId="11" fillId="0" borderId="3" xfId="0" applyFont="1" applyBorder="1" applyAlignment="1" applyProtection="1">
      <alignment horizontal="left" vertical="center" wrapText="1"/>
      <protection locked="0"/>
    </xf>
    <xf numFmtId="0" fontId="11" fillId="0" borderId="1" xfId="0" applyFont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0" xfId="0" applyProtection="1">
      <alignment vertical="center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2" fillId="0" borderId="4" xfId="0" applyFont="1" applyBorder="1" applyAlignment="1" applyProtection="1">
      <alignment horizontal="center" vertical="center"/>
      <protection locked="0"/>
    </xf>
    <xf numFmtId="0" fontId="12" fillId="0" borderId="5" xfId="0" applyFont="1" applyBorder="1" applyAlignment="1" applyProtection="1">
      <alignment horizontal="center" vertical="center"/>
      <protection locked="0"/>
    </xf>
    <xf numFmtId="0" fontId="12" fillId="0" borderId="6" xfId="0" applyFont="1" applyBorder="1" applyAlignment="1" applyProtection="1">
      <alignment horizontal="center" vertical="center"/>
      <protection locked="0"/>
    </xf>
    <xf numFmtId="0" fontId="12" fillId="0" borderId="7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6" fontId="9" fillId="0" borderId="2" xfId="2" applyFont="1" applyBorder="1" applyAlignment="1" applyProtection="1">
      <alignment horizontal="center" vertical="center"/>
    </xf>
    <xf numFmtId="177" fontId="8" fillId="0" borderId="2" xfId="1" applyNumberFormat="1" applyFont="1" applyBorder="1" applyAlignment="1" applyProtection="1">
      <alignment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38" fontId="0" fillId="0" borderId="4" xfId="1" applyFont="1" applyFill="1" applyBorder="1" applyAlignment="1" applyProtection="1">
      <alignment horizontal="right" vertical="center"/>
      <protection locked="0"/>
    </xf>
    <xf numFmtId="38" fontId="0" fillId="0" borderId="5" xfId="1" applyFont="1" applyFill="1" applyBorder="1" applyAlignment="1" applyProtection="1">
      <alignment horizontal="right" vertical="center"/>
      <protection locked="0"/>
    </xf>
    <xf numFmtId="38" fontId="0" fillId="0" borderId="6" xfId="1" applyFont="1" applyFill="1" applyBorder="1" applyAlignment="1" applyProtection="1">
      <alignment horizontal="right" vertical="center"/>
      <protection locked="0"/>
    </xf>
    <xf numFmtId="30" fontId="11" fillId="0" borderId="5" xfId="0" applyNumberFormat="1" applyFont="1" applyBorder="1" applyAlignment="1" applyProtection="1">
      <alignment horizontal="center" vertical="center"/>
      <protection locked="0"/>
    </xf>
    <xf numFmtId="31" fontId="11" fillId="0" borderId="5" xfId="0" applyNumberFormat="1" applyFont="1" applyBorder="1" applyAlignment="1" applyProtection="1">
      <alignment horizontal="center" vertical="center"/>
      <protection locked="0"/>
    </xf>
    <xf numFmtId="31" fontId="11" fillId="0" borderId="5" xfId="0" applyNumberFormat="1" applyFont="1" applyBorder="1" applyAlignment="1" applyProtection="1">
      <alignment horizontal="left" vertical="center"/>
      <protection locked="0"/>
    </xf>
    <xf numFmtId="31" fontId="11" fillId="0" borderId="6" xfId="0" applyNumberFormat="1" applyFont="1" applyBorder="1" applyAlignment="1" applyProtection="1">
      <alignment horizontal="left" vertical="center"/>
      <protection locked="0"/>
    </xf>
    <xf numFmtId="0" fontId="21" fillId="0" borderId="4" xfId="0" applyFont="1" applyBorder="1" applyAlignment="1" applyProtection="1">
      <alignment horizontal="left" vertical="center" wrapText="1"/>
      <protection locked="0"/>
    </xf>
    <xf numFmtId="0" fontId="21" fillId="0" borderId="5" xfId="0" applyFont="1" applyBorder="1" applyAlignment="1" applyProtection="1">
      <alignment horizontal="left" vertical="center" wrapText="1"/>
      <protection locked="0"/>
    </xf>
    <xf numFmtId="0" fontId="21" fillId="0" borderId="6" xfId="0" applyFont="1" applyBorder="1" applyAlignment="1" applyProtection="1">
      <alignment horizontal="left" vertical="center" wrapText="1"/>
      <protection locked="0"/>
    </xf>
    <xf numFmtId="0" fontId="11" fillId="0" borderId="4" xfId="0" applyFont="1" applyBorder="1" applyAlignment="1" applyProtection="1">
      <alignment horizontal="left"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10" xfId="0" applyFont="1" applyBorder="1" applyAlignment="1" applyProtection="1">
      <alignment horizontal="left" vertical="center" wrapText="1"/>
      <protection locked="0"/>
    </xf>
    <xf numFmtId="0" fontId="11" fillId="0" borderId="8" xfId="0" applyFont="1" applyBorder="1" applyAlignment="1" applyProtection="1">
      <alignment horizontal="left" vertical="center" wrapText="1"/>
      <protection locked="0"/>
    </xf>
    <xf numFmtId="0" fontId="11" fillId="0" borderId="11" xfId="0" applyFont="1" applyBorder="1" applyAlignment="1" applyProtection="1">
      <alignment horizontal="left" vertical="center" wrapText="1"/>
      <protection locked="0"/>
    </xf>
    <xf numFmtId="0" fontId="11" fillId="0" borderId="12" xfId="0" applyFont="1" applyBorder="1" applyAlignment="1" applyProtection="1">
      <alignment horizontal="left" vertical="center" wrapText="1"/>
      <protection locked="0"/>
    </xf>
    <xf numFmtId="0" fontId="16" fillId="0" borderId="5" xfId="0" applyFont="1" applyBorder="1" applyAlignment="1" applyProtection="1">
      <alignment horizontal="left" vertical="center" wrapText="1"/>
      <protection locked="0"/>
    </xf>
    <xf numFmtId="0" fontId="16" fillId="0" borderId="6" xfId="0" applyFont="1" applyBorder="1" applyAlignment="1" applyProtection="1">
      <alignment horizontal="left" vertical="center" wrapText="1"/>
      <protection locked="0"/>
    </xf>
  </cellXfs>
  <cellStyles count="5">
    <cellStyle name="パーセント" xfId="3" builtinId="5"/>
    <cellStyle name="ハイパーリンク" xfId="4" builtinId="8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120650</xdr:colOff>
      <xdr:row>5</xdr:row>
      <xdr:rowOff>19050</xdr:rowOff>
    </xdr:from>
    <xdr:to>
      <xdr:col>15</xdr:col>
      <xdr:colOff>197106</xdr:colOff>
      <xdr:row>7</xdr:row>
      <xdr:rowOff>222506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E016B36-907B-41C0-AC67-CAF25E830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1416050"/>
          <a:ext cx="749556" cy="755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01E2-081A-447D-88A3-69ADD7519532}">
  <sheetPr>
    <pageSetUpPr fitToPage="1"/>
  </sheetPr>
  <dimension ref="A1:T40"/>
  <sheetViews>
    <sheetView tabSelected="1" topLeftCell="A11" zoomScaleNormal="100" workbookViewId="0">
      <selection activeCell="J22" sqref="J22:Q22"/>
    </sheetView>
  </sheetViews>
  <sheetFormatPr defaultColWidth="5.59765625" defaultRowHeight="18"/>
  <cols>
    <col min="4" max="4" width="6.796875" customWidth="1"/>
    <col min="9" max="9" width="12.59765625" customWidth="1"/>
    <col min="10" max="10" width="4.796875" customWidth="1"/>
    <col min="11" max="11" width="5.09765625" customWidth="1"/>
    <col min="14" max="14" width="3.19921875" customWidth="1"/>
    <col min="17" max="17" width="3.796875" customWidth="1"/>
  </cols>
  <sheetData>
    <row r="1" spans="1:20" ht="28.8">
      <c r="A1" s="59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20" ht="26.4">
      <c r="A3" s="60" t="s">
        <v>49</v>
      </c>
      <c r="B3" s="60"/>
      <c r="C3" s="60"/>
      <c r="D3" s="60"/>
      <c r="E3" s="60"/>
      <c r="F3" s="60"/>
      <c r="G3" s="60"/>
      <c r="H3" s="61" t="s">
        <v>1</v>
      </c>
      <c r="I3" s="61"/>
      <c r="J3" s="1"/>
      <c r="K3" s="1"/>
      <c r="L3" s="62"/>
      <c r="M3" s="63"/>
      <c r="N3" s="64"/>
      <c r="O3" s="64"/>
      <c r="P3" s="64"/>
      <c r="Q3" s="64"/>
    </row>
    <row r="4" spans="1:20" ht="19.8">
      <c r="A4" s="1"/>
      <c r="B4" s="63"/>
      <c r="C4" s="63"/>
      <c r="D4" s="65"/>
      <c r="E4" s="65"/>
      <c r="F4" s="65"/>
      <c r="G4" s="2"/>
      <c r="H4" s="1"/>
      <c r="I4" s="1"/>
      <c r="J4" s="1"/>
      <c r="K4" s="1"/>
      <c r="L4" s="62" t="s">
        <v>2</v>
      </c>
      <c r="M4" s="63"/>
      <c r="N4" s="66">
        <f>$C$17-1</f>
        <v>46418</v>
      </c>
      <c r="O4" s="66"/>
      <c r="P4" s="66"/>
      <c r="Q4" s="66"/>
    </row>
    <row r="5" spans="1:20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20" ht="22.8" thickBot="1">
      <c r="A6" s="67" t="s">
        <v>3</v>
      </c>
      <c r="B6" s="67"/>
      <c r="C6" s="67"/>
      <c r="D6" s="67"/>
      <c r="E6" s="67"/>
      <c r="F6" s="67"/>
      <c r="G6" s="67"/>
      <c r="H6" s="67"/>
      <c r="I6" s="67"/>
      <c r="J6" s="1"/>
      <c r="K6" s="63" t="s">
        <v>4</v>
      </c>
      <c r="L6" s="63"/>
      <c r="M6" s="63"/>
      <c r="N6" s="63"/>
      <c r="O6" s="63"/>
      <c r="P6" s="63"/>
      <c r="Q6" s="63"/>
      <c r="S6" t="s">
        <v>5</v>
      </c>
      <c r="T6" s="3">
        <v>0.1</v>
      </c>
    </row>
    <row r="7" spans="1:20" ht="20.399999999999999" thickTop="1">
      <c r="A7" s="1"/>
      <c r="B7" s="62" t="s">
        <v>6</v>
      </c>
      <c r="C7" s="63"/>
      <c r="D7" s="63"/>
      <c r="E7" s="63"/>
      <c r="F7" s="63"/>
      <c r="G7" s="63"/>
      <c r="H7" s="63"/>
      <c r="I7" s="63"/>
      <c r="J7" s="63"/>
      <c r="K7" s="63" t="s">
        <v>7</v>
      </c>
      <c r="L7" s="63"/>
      <c r="M7" s="63"/>
      <c r="N7" s="63"/>
      <c r="O7" s="63"/>
      <c r="P7" s="63"/>
      <c r="Q7" s="63"/>
      <c r="S7" t="s">
        <v>8</v>
      </c>
    </row>
    <row r="8" spans="1:20" ht="19.8">
      <c r="A8" s="1"/>
      <c r="B8" s="1"/>
      <c r="C8" s="1"/>
      <c r="D8" s="1"/>
      <c r="E8" s="1"/>
      <c r="F8" s="1"/>
      <c r="G8" s="1"/>
      <c r="H8" s="1"/>
      <c r="I8" s="1"/>
      <c r="J8" s="1"/>
      <c r="K8" s="63" t="s">
        <v>9</v>
      </c>
      <c r="L8" s="63"/>
      <c r="M8" s="63"/>
      <c r="N8" s="63"/>
      <c r="O8" s="63"/>
      <c r="P8" s="63"/>
      <c r="Q8" s="63"/>
      <c r="S8" t="s">
        <v>10</v>
      </c>
    </row>
    <row r="9" spans="1:20" ht="19.8">
      <c r="A9" s="1"/>
      <c r="B9" s="1"/>
      <c r="C9" s="1"/>
      <c r="D9" s="1"/>
      <c r="E9" s="1"/>
      <c r="F9" s="1"/>
      <c r="G9" s="1"/>
      <c r="H9" s="1"/>
      <c r="I9" s="1"/>
      <c r="J9" s="1"/>
      <c r="K9" s="63" t="s">
        <v>11</v>
      </c>
      <c r="L9" s="63"/>
      <c r="M9" s="63"/>
      <c r="N9" s="63"/>
      <c r="O9" s="63"/>
      <c r="P9" s="63"/>
      <c r="Q9" s="63"/>
      <c r="S9" t="s">
        <v>12</v>
      </c>
    </row>
    <row r="10" spans="1:20">
      <c r="A10" s="68" t="s">
        <v>13</v>
      </c>
      <c r="B10" s="68"/>
      <c r="C10" s="73" t="s">
        <v>14</v>
      </c>
      <c r="D10" s="73"/>
      <c r="E10" s="73"/>
      <c r="F10" s="73"/>
      <c r="G10" s="73"/>
      <c r="H10" s="73"/>
      <c r="I10" s="73"/>
      <c r="J10" s="1"/>
      <c r="K10" s="71" t="s">
        <v>15</v>
      </c>
      <c r="L10" s="71"/>
      <c r="M10" s="72" t="s">
        <v>16</v>
      </c>
      <c r="N10" s="72"/>
      <c r="O10" s="72"/>
      <c r="P10" s="72"/>
      <c r="Q10" s="72"/>
      <c r="S10" t="s">
        <v>17</v>
      </c>
    </row>
    <row r="11" spans="1:20" ht="18" customHeight="1">
      <c r="A11" s="68"/>
      <c r="B11" s="68"/>
      <c r="C11" s="69" t="s">
        <v>18</v>
      </c>
      <c r="D11" s="69"/>
      <c r="E11" s="69"/>
      <c r="F11" s="69"/>
      <c r="G11" s="69"/>
      <c r="H11" s="69"/>
      <c r="I11" s="69"/>
      <c r="J11" s="1"/>
      <c r="K11" s="71" t="s">
        <v>19</v>
      </c>
      <c r="L11" s="71"/>
      <c r="M11" s="72" t="s">
        <v>20</v>
      </c>
      <c r="N11" s="72"/>
      <c r="O11" s="72"/>
      <c r="P11" s="72"/>
      <c r="Q11" s="72"/>
    </row>
    <row r="12" spans="1:20">
      <c r="A12" s="68" t="s">
        <v>21</v>
      </c>
      <c r="B12" s="68"/>
      <c r="C12" s="70"/>
      <c r="D12" s="70"/>
      <c r="E12" s="70"/>
      <c r="F12" s="70"/>
      <c r="G12" s="70"/>
      <c r="H12" s="70"/>
      <c r="I12" s="70"/>
      <c r="J12" s="1"/>
      <c r="K12" s="71" t="s">
        <v>22</v>
      </c>
      <c r="L12" s="71"/>
      <c r="M12" s="72" t="s">
        <v>52</v>
      </c>
      <c r="N12" s="72"/>
      <c r="O12" s="72"/>
      <c r="P12" s="72"/>
      <c r="Q12" s="72"/>
    </row>
    <row r="13" spans="1:20" ht="19.8">
      <c r="A13" s="1"/>
      <c r="B13" s="1"/>
      <c r="C13" s="1"/>
      <c r="D13" s="1"/>
      <c r="E13" s="1"/>
      <c r="F13" s="1"/>
      <c r="G13" s="1"/>
      <c r="H13" s="1"/>
      <c r="I13" s="1"/>
      <c r="J13" s="1"/>
      <c r="K13" s="4"/>
      <c r="L13" s="4"/>
      <c r="M13" s="2"/>
      <c r="N13" s="2"/>
      <c r="O13" s="2"/>
      <c r="P13" s="2"/>
      <c r="Q13" s="2"/>
    </row>
    <row r="14" spans="1:20" ht="22.8" thickBot="1">
      <c r="A14" s="78" t="s">
        <v>23</v>
      </c>
      <c r="B14" s="78"/>
      <c r="C14" s="78"/>
      <c r="D14" s="79">
        <f>L36</f>
        <v>770000</v>
      </c>
      <c r="E14" s="79"/>
      <c r="F14" s="79"/>
      <c r="G14" s="79"/>
      <c r="H14" s="80" t="s">
        <v>24</v>
      </c>
      <c r="I14" s="80"/>
      <c r="J14" s="64"/>
      <c r="K14" s="64"/>
      <c r="L14" s="64"/>
      <c r="M14" s="81"/>
      <c r="N14" s="81"/>
      <c r="O14" s="81"/>
      <c r="P14" s="81"/>
      <c r="Q14" s="81"/>
    </row>
    <row r="15" spans="1:20" ht="18.600000000000001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20" ht="19.8">
      <c r="A16" s="74" t="s">
        <v>25</v>
      </c>
      <c r="B16" s="75"/>
      <c r="C16" s="75"/>
      <c r="D16" s="75"/>
      <c r="E16" s="75"/>
      <c r="F16" s="75"/>
      <c r="G16" s="75"/>
      <c r="H16" s="75"/>
      <c r="I16" s="76"/>
      <c r="J16" s="77" t="s">
        <v>26</v>
      </c>
      <c r="K16" s="77"/>
      <c r="L16" s="77" t="s">
        <v>27</v>
      </c>
      <c r="M16" s="77"/>
      <c r="N16" s="77"/>
      <c r="O16" s="77" t="s">
        <v>28</v>
      </c>
      <c r="P16" s="77"/>
      <c r="Q16" s="77"/>
    </row>
    <row r="17" spans="1:17">
      <c r="A17" s="5" t="s">
        <v>29</v>
      </c>
      <c r="B17" s="6"/>
      <c r="C17" s="85">
        <f>DATE(2027,2,1)</f>
        <v>46419</v>
      </c>
      <c r="D17" s="86"/>
      <c r="E17" s="7" t="s">
        <v>30</v>
      </c>
      <c r="F17" s="87">
        <f>EOMONTH(C17,0)</f>
        <v>46446</v>
      </c>
      <c r="G17" s="87"/>
      <c r="H17" s="87"/>
      <c r="I17" s="88"/>
      <c r="J17" s="8"/>
      <c r="K17" s="9"/>
      <c r="L17" s="18"/>
      <c r="M17" s="19"/>
      <c r="N17" s="20"/>
      <c r="O17" s="21"/>
      <c r="P17" s="22"/>
      <c r="Q17" s="23"/>
    </row>
    <row r="18" spans="1:17" ht="18.600000000000001" customHeight="1">
      <c r="A18" s="15" t="s">
        <v>31</v>
      </c>
      <c r="B18" s="16"/>
      <c r="C18" s="10" t="s">
        <v>50</v>
      </c>
      <c r="D18" s="10"/>
      <c r="E18" s="10"/>
      <c r="F18" s="10"/>
      <c r="G18" s="10"/>
      <c r="H18" s="10"/>
      <c r="I18" s="11"/>
      <c r="J18" s="8"/>
      <c r="K18" s="9"/>
      <c r="L18" s="31"/>
      <c r="M18" s="32"/>
      <c r="N18" s="33"/>
      <c r="O18" s="34"/>
      <c r="P18" s="34"/>
      <c r="Q18" s="34"/>
    </row>
    <row r="19" spans="1:17" ht="18.600000000000001" customHeight="1">
      <c r="A19" s="5" t="s">
        <v>32</v>
      </c>
      <c r="B19" s="10"/>
      <c r="C19" s="10" t="s">
        <v>51</v>
      </c>
      <c r="D19" s="10"/>
      <c r="E19" s="10"/>
      <c r="F19" s="10"/>
      <c r="G19" s="10"/>
      <c r="H19" s="10"/>
      <c r="I19" s="11"/>
      <c r="J19" s="8"/>
      <c r="K19" s="9"/>
      <c r="L19" s="31"/>
      <c r="M19" s="32"/>
      <c r="N19" s="33"/>
      <c r="O19" s="34"/>
      <c r="P19" s="34"/>
      <c r="Q19" s="34"/>
    </row>
    <row r="20" spans="1:17" ht="18.600000000000001" customHeight="1">
      <c r="A20" s="5" t="s">
        <v>33</v>
      </c>
      <c r="B20" s="10"/>
      <c r="C20" s="10" t="s">
        <v>34</v>
      </c>
      <c r="D20" s="10"/>
      <c r="E20" s="10"/>
      <c r="F20" s="10"/>
      <c r="G20" s="10"/>
      <c r="H20" s="10"/>
      <c r="I20" s="11"/>
      <c r="J20" s="8"/>
      <c r="K20" s="9"/>
      <c r="L20" s="31"/>
      <c r="M20" s="32"/>
      <c r="N20" s="33"/>
      <c r="O20" s="34"/>
      <c r="P20" s="34"/>
      <c r="Q20" s="34"/>
    </row>
    <row r="21" spans="1:17" ht="18.600000000000001" customHeight="1">
      <c r="A21" s="5" t="s">
        <v>35</v>
      </c>
      <c r="B21" s="10"/>
      <c r="C21" s="10" t="s">
        <v>36</v>
      </c>
      <c r="D21" s="10"/>
      <c r="E21" s="10"/>
      <c r="F21" s="10"/>
      <c r="G21" s="10"/>
      <c r="H21" s="10"/>
      <c r="I21" s="11"/>
      <c r="J21" s="8"/>
      <c r="K21" s="9"/>
      <c r="L21" s="31"/>
      <c r="M21" s="32"/>
      <c r="N21" s="33"/>
      <c r="O21" s="34"/>
      <c r="P21" s="34"/>
      <c r="Q21" s="34"/>
    </row>
    <row r="22" spans="1:17" ht="18.600000000000001" customHeight="1">
      <c r="A22" s="92" t="s">
        <v>53</v>
      </c>
      <c r="B22" s="93"/>
      <c r="C22" s="13" t="s">
        <v>54</v>
      </c>
      <c r="D22" s="13"/>
      <c r="E22" s="13"/>
      <c r="F22" s="13"/>
      <c r="G22" s="13"/>
      <c r="H22" s="13"/>
      <c r="I22" s="14"/>
      <c r="J22" s="8">
        <v>1</v>
      </c>
      <c r="K22" s="9" t="s">
        <v>55</v>
      </c>
      <c r="L22" s="82">
        <v>700000</v>
      </c>
      <c r="M22" s="83"/>
      <c r="N22" s="84"/>
      <c r="O22" s="25">
        <f>J22*L22</f>
        <v>700000</v>
      </c>
      <c r="P22" s="26"/>
      <c r="Q22" s="27"/>
    </row>
    <row r="23" spans="1:17" ht="39.6" customHeight="1">
      <c r="A23" s="40" t="s">
        <v>56</v>
      </c>
      <c r="B23" s="41"/>
      <c r="C23" s="98" t="s">
        <v>57</v>
      </c>
      <c r="D23" s="98"/>
      <c r="E23" s="98"/>
      <c r="F23" s="98"/>
      <c r="G23" s="98"/>
      <c r="H23" s="98"/>
      <c r="I23" s="99"/>
      <c r="J23" s="8"/>
      <c r="K23" s="9"/>
      <c r="L23" s="82"/>
      <c r="M23" s="83"/>
      <c r="N23" s="84"/>
      <c r="O23" s="25"/>
      <c r="P23" s="26"/>
      <c r="Q23" s="27"/>
    </row>
    <row r="24" spans="1:17" ht="18.600000000000001" hidden="1" customHeight="1">
      <c r="A24" s="40"/>
      <c r="B24" s="41"/>
      <c r="C24" s="41"/>
      <c r="D24" s="41"/>
      <c r="E24" s="41"/>
      <c r="F24" s="41"/>
      <c r="G24" s="41"/>
      <c r="H24" s="41"/>
      <c r="I24" s="42"/>
      <c r="J24" s="8"/>
      <c r="K24" s="9"/>
      <c r="L24" s="82"/>
      <c r="M24" s="83"/>
      <c r="N24" s="84"/>
      <c r="O24" s="25"/>
      <c r="P24" s="26"/>
      <c r="Q24" s="27"/>
    </row>
    <row r="25" spans="1:17" ht="18.600000000000001" hidden="1" customHeight="1">
      <c r="A25" s="40"/>
      <c r="B25" s="41"/>
      <c r="C25" s="41"/>
      <c r="D25" s="41"/>
      <c r="E25" s="41"/>
      <c r="F25" s="41"/>
      <c r="G25" s="41"/>
      <c r="H25" s="41"/>
      <c r="I25" s="42"/>
      <c r="J25" s="8"/>
      <c r="K25" s="9"/>
      <c r="L25" s="43"/>
      <c r="M25" s="44"/>
      <c r="N25" s="45"/>
      <c r="O25" s="25"/>
      <c r="P25" s="26"/>
      <c r="Q25" s="27"/>
    </row>
    <row r="26" spans="1:17" ht="18.600000000000001" hidden="1" customHeight="1">
      <c r="A26" s="94" t="s">
        <v>37</v>
      </c>
      <c r="B26" s="69"/>
      <c r="C26" s="69"/>
      <c r="D26" s="69"/>
      <c r="E26" s="69"/>
      <c r="F26" s="69"/>
      <c r="G26" s="69"/>
      <c r="H26" s="69"/>
      <c r="I26" s="95"/>
      <c r="J26" s="8"/>
      <c r="K26" s="9"/>
      <c r="L26" s="31"/>
      <c r="M26" s="32"/>
      <c r="N26" s="33"/>
      <c r="O26" s="34"/>
      <c r="P26" s="34"/>
      <c r="Q26" s="34"/>
    </row>
    <row r="27" spans="1:17" ht="18.600000000000001" hidden="1" customHeight="1">
      <c r="A27" s="96"/>
      <c r="B27" s="70"/>
      <c r="C27" s="70"/>
      <c r="D27" s="70"/>
      <c r="E27" s="70"/>
      <c r="F27" s="70"/>
      <c r="G27" s="70"/>
      <c r="H27" s="70"/>
      <c r="I27" s="97"/>
      <c r="J27" s="8"/>
      <c r="K27" s="9"/>
      <c r="L27" s="31"/>
      <c r="M27" s="32"/>
      <c r="N27" s="33"/>
      <c r="O27" s="34"/>
      <c r="P27" s="34"/>
      <c r="Q27" s="34"/>
    </row>
    <row r="28" spans="1:17">
      <c r="A28" s="15"/>
      <c r="B28" s="17"/>
      <c r="C28" s="37"/>
      <c r="D28" s="38"/>
      <c r="E28" s="38"/>
      <c r="F28" s="38"/>
      <c r="G28" s="38"/>
      <c r="H28" s="38"/>
      <c r="I28" s="39"/>
      <c r="J28" s="8"/>
      <c r="K28" s="9"/>
      <c r="L28" s="31"/>
      <c r="M28" s="32"/>
      <c r="N28" s="33"/>
      <c r="O28" s="34"/>
      <c r="P28" s="34"/>
      <c r="Q28" s="34"/>
    </row>
    <row r="29" spans="1:17">
      <c r="A29" s="5" t="s">
        <v>38</v>
      </c>
      <c r="B29" s="10"/>
      <c r="C29" s="24" t="s">
        <v>39</v>
      </c>
      <c r="D29" s="10"/>
      <c r="E29" s="10"/>
      <c r="F29" s="10"/>
      <c r="G29" s="10"/>
      <c r="H29" s="10"/>
      <c r="I29" s="11"/>
      <c r="J29" s="8"/>
      <c r="K29" s="9"/>
      <c r="L29" s="31"/>
      <c r="M29" s="32"/>
      <c r="N29" s="33"/>
      <c r="O29" s="34"/>
      <c r="P29" s="34"/>
      <c r="Q29" s="34"/>
    </row>
    <row r="30" spans="1:17" ht="29.1" customHeight="1">
      <c r="A30" s="5" t="s">
        <v>40</v>
      </c>
      <c r="B30" s="10"/>
      <c r="C30" s="35" t="s">
        <v>41</v>
      </c>
      <c r="D30" s="35"/>
      <c r="E30" s="35"/>
      <c r="F30" s="35"/>
      <c r="G30" s="35"/>
      <c r="H30" s="35"/>
      <c r="I30" s="36"/>
      <c r="J30" s="8"/>
      <c r="K30" s="9"/>
      <c r="L30" s="31"/>
      <c r="M30" s="32"/>
      <c r="N30" s="33"/>
      <c r="O30" s="28"/>
      <c r="P30" s="29"/>
      <c r="Q30" s="30"/>
    </row>
    <row r="31" spans="1:17" ht="18.600000000000001" customHeight="1">
      <c r="A31" s="89"/>
      <c r="B31" s="90"/>
      <c r="C31" s="90"/>
      <c r="D31" s="90"/>
      <c r="E31" s="90"/>
      <c r="F31" s="90"/>
      <c r="G31" s="90"/>
      <c r="H31" s="90"/>
      <c r="I31" s="91"/>
      <c r="J31" s="8"/>
      <c r="K31" s="9"/>
      <c r="L31" s="31"/>
      <c r="M31" s="32"/>
      <c r="N31" s="33"/>
      <c r="O31" s="34"/>
      <c r="P31" s="34"/>
      <c r="Q31" s="34"/>
    </row>
    <row r="32" spans="1:17" ht="18.600000000000001" customHeight="1">
      <c r="A32" s="5" t="s">
        <v>42</v>
      </c>
      <c r="B32" s="10"/>
      <c r="C32" s="10" t="s">
        <v>58</v>
      </c>
      <c r="D32" s="10"/>
      <c r="E32" s="10"/>
      <c r="F32" s="10"/>
      <c r="G32" s="10"/>
      <c r="H32" s="10"/>
      <c r="I32" s="11"/>
      <c r="J32" s="8"/>
      <c r="K32" s="9"/>
      <c r="L32" s="31"/>
      <c r="M32" s="32"/>
      <c r="N32" s="33"/>
      <c r="O32" s="34"/>
      <c r="P32" s="34"/>
      <c r="Q32" s="34"/>
    </row>
    <row r="33" spans="1:20" ht="18.600000000000001" customHeight="1">
      <c r="A33" s="5" t="s">
        <v>43</v>
      </c>
      <c r="B33" s="10"/>
      <c r="C33" s="10" t="s">
        <v>44</v>
      </c>
      <c r="D33" s="10"/>
      <c r="E33" s="10"/>
      <c r="F33" s="10"/>
      <c r="G33" s="10"/>
      <c r="H33" s="10"/>
      <c r="I33" s="11"/>
      <c r="J33" s="8"/>
      <c r="K33" s="9"/>
      <c r="L33" s="31"/>
      <c r="M33" s="32"/>
      <c r="N33" s="33"/>
      <c r="O33" s="34"/>
      <c r="P33" s="34"/>
      <c r="Q33" s="34"/>
    </row>
    <row r="34" spans="1:20" ht="20.100000000000001" customHeight="1">
      <c r="A34" s="49"/>
      <c r="B34" s="49"/>
      <c r="C34" s="49"/>
      <c r="D34" s="49"/>
      <c r="E34" s="49"/>
      <c r="F34" s="49"/>
      <c r="G34" s="49"/>
      <c r="H34" s="49"/>
      <c r="I34" s="50"/>
      <c r="J34" s="46" t="s">
        <v>45</v>
      </c>
      <c r="K34" s="46"/>
      <c r="L34" s="51">
        <f>SUM(O22:O25)</f>
        <v>700000</v>
      </c>
      <c r="M34" s="52"/>
      <c r="N34" s="52"/>
      <c r="O34" s="52"/>
      <c r="P34" s="52"/>
      <c r="Q34" s="53"/>
    </row>
    <row r="35" spans="1:20" ht="20.100000000000001" customHeight="1">
      <c r="A35" s="54"/>
      <c r="B35" s="54"/>
      <c r="C35" s="54"/>
      <c r="D35" s="54"/>
      <c r="E35" s="54"/>
      <c r="F35" s="54"/>
      <c r="G35" s="54"/>
      <c r="H35" s="54"/>
      <c r="I35" s="55"/>
      <c r="J35" s="58" t="s">
        <v>46</v>
      </c>
      <c r="K35" s="58"/>
      <c r="L35" s="51">
        <f>L34*$T$6</f>
        <v>70000</v>
      </c>
      <c r="M35" s="52"/>
      <c r="N35" s="52"/>
      <c r="O35" s="52"/>
      <c r="P35" s="52"/>
      <c r="Q35" s="53"/>
    </row>
    <row r="36" spans="1:20" ht="20.100000000000001" customHeight="1">
      <c r="A36" s="2"/>
      <c r="B36" s="2"/>
      <c r="C36" s="2"/>
      <c r="D36" s="2"/>
      <c r="E36" s="2"/>
      <c r="F36" s="2"/>
      <c r="G36" s="2"/>
      <c r="H36" s="2"/>
      <c r="I36" s="2"/>
      <c r="J36" s="46" t="s">
        <v>47</v>
      </c>
      <c r="K36" s="46"/>
      <c r="L36" s="56">
        <f>L34+L35</f>
        <v>770000</v>
      </c>
      <c r="M36" s="57"/>
      <c r="N36" s="57"/>
      <c r="O36" s="57"/>
      <c r="P36" s="57"/>
      <c r="Q36" s="57"/>
    </row>
    <row r="37" spans="1:20">
      <c r="A37" s="46" t="s">
        <v>48</v>
      </c>
      <c r="B37" s="46"/>
      <c r="C37" s="47" t="s">
        <v>59</v>
      </c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</row>
    <row r="38" spans="1:20">
      <c r="A38" s="46"/>
      <c r="B38" s="46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</row>
    <row r="39" spans="1:20" ht="19.8">
      <c r="A39" s="1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ht="19.8">
      <c r="A40" s="1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</sheetData>
  <mergeCells count="88">
    <mergeCell ref="C17:D17"/>
    <mergeCell ref="F17:I17"/>
    <mergeCell ref="A31:I31"/>
    <mergeCell ref="L27:N27"/>
    <mergeCell ref="A22:B22"/>
    <mergeCell ref="A24:I24"/>
    <mergeCell ref="L24:N24"/>
    <mergeCell ref="L21:N21"/>
    <mergeCell ref="L18:N18"/>
    <mergeCell ref="L26:N26"/>
    <mergeCell ref="A26:I27"/>
    <mergeCell ref="A23:B23"/>
    <mergeCell ref="C23:I23"/>
    <mergeCell ref="O21:Q21"/>
    <mergeCell ref="L22:N22"/>
    <mergeCell ref="O22:Q22"/>
    <mergeCell ref="L23:N23"/>
    <mergeCell ref="O23:Q23"/>
    <mergeCell ref="O18:Q18"/>
    <mergeCell ref="L19:N19"/>
    <mergeCell ref="O19:Q19"/>
    <mergeCell ref="L20:N20"/>
    <mergeCell ref="O20:Q20"/>
    <mergeCell ref="A16:I16"/>
    <mergeCell ref="J16:K16"/>
    <mergeCell ref="L16:N16"/>
    <mergeCell ref="O16:Q16"/>
    <mergeCell ref="A14:C14"/>
    <mergeCell ref="D14:G14"/>
    <mergeCell ref="H14:I14"/>
    <mergeCell ref="J14:L14"/>
    <mergeCell ref="M14:Q14"/>
    <mergeCell ref="B7:J7"/>
    <mergeCell ref="K7:Q7"/>
    <mergeCell ref="A6:I6"/>
    <mergeCell ref="A11:B11"/>
    <mergeCell ref="C11:I12"/>
    <mergeCell ref="K11:L11"/>
    <mergeCell ref="M11:Q11"/>
    <mergeCell ref="A12:B12"/>
    <mergeCell ref="K12:L12"/>
    <mergeCell ref="M12:Q12"/>
    <mergeCell ref="K9:Q9"/>
    <mergeCell ref="A10:B10"/>
    <mergeCell ref="C10:I10"/>
    <mergeCell ref="K10:L10"/>
    <mergeCell ref="M10:Q10"/>
    <mergeCell ref="K8:Q8"/>
    <mergeCell ref="B4:C4"/>
    <mergeCell ref="D4:F4"/>
    <mergeCell ref="L4:M4"/>
    <mergeCell ref="N4:Q4"/>
    <mergeCell ref="K6:Q6"/>
    <mergeCell ref="A1:Q1"/>
    <mergeCell ref="A3:G3"/>
    <mergeCell ref="H3:I3"/>
    <mergeCell ref="L3:M3"/>
    <mergeCell ref="N3:Q3"/>
    <mergeCell ref="A37:B38"/>
    <mergeCell ref="C37:Q38"/>
    <mergeCell ref="A34:I34"/>
    <mergeCell ref="J34:K34"/>
    <mergeCell ref="L34:Q34"/>
    <mergeCell ref="A35:I35"/>
    <mergeCell ref="J36:K36"/>
    <mergeCell ref="L36:Q36"/>
    <mergeCell ref="J35:K35"/>
    <mergeCell ref="L35:Q35"/>
    <mergeCell ref="L33:N33"/>
    <mergeCell ref="O33:Q33"/>
    <mergeCell ref="L32:N32"/>
    <mergeCell ref="O32:Q32"/>
    <mergeCell ref="O27:Q27"/>
    <mergeCell ref="L31:N31"/>
    <mergeCell ref="O31:Q31"/>
    <mergeCell ref="O24:Q24"/>
    <mergeCell ref="O30:Q30"/>
    <mergeCell ref="L28:N28"/>
    <mergeCell ref="O28:Q28"/>
    <mergeCell ref="C30:I30"/>
    <mergeCell ref="C28:I28"/>
    <mergeCell ref="O25:Q25"/>
    <mergeCell ref="A25:I25"/>
    <mergeCell ref="O29:Q29"/>
    <mergeCell ref="L30:N30"/>
    <mergeCell ref="L29:N29"/>
    <mergeCell ref="L25:N25"/>
    <mergeCell ref="O26:Q26"/>
  </mergeCells>
  <phoneticPr fontId="3"/>
  <dataValidations disablePrompts="1" count="1">
    <dataValidation type="list" allowBlank="1" showInputMessage="1" showErrorMessage="1" sqref="K17:K33" xr:uid="{17A95916-B704-458F-B09D-6A1C98682C51}">
      <formula1>$S$6:$S$10</formula1>
    </dataValidation>
  </dataValidations>
  <pageMargins left="0.39370078740157483" right="0.39370078740157483" top="0.74803149606299213" bottom="0.74803149606299213" header="0.31496062992125984" footer="0.31496062992125984"/>
  <pageSetup paperSize="9" scale="89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SourceID xmlns="6e425d3e-896b-49cb-9cfa-37430e7a0fcf">1uT4VI87EeuGedoqyL67eNLN_Pc3Xo4wn</MigrationSourceID>
    <lcf76f155ced4ddcb4097134ff3c332f xmlns="fcdf16ed-b6c9-41e9-93a4-9514a6eae224">
      <Terms xmlns="http://schemas.microsoft.com/office/infopath/2007/PartnerControls"/>
    </lcf76f155ced4ddcb4097134ff3c332f>
    <TaxCatchAll xmlns="6e425d3e-896b-49cb-9cfa-37430e7a0fc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35F1252AD4F104093AA247887E81414" ma:contentTypeVersion="13" ma:contentTypeDescription="新しいドキュメントを作成します。" ma:contentTypeScope="" ma:versionID="95f81b4fafe1c91660d129e0001a7b89">
  <xsd:schema xmlns:xsd="http://www.w3.org/2001/XMLSchema" xmlns:xs="http://www.w3.org/2001/XMLSchema" xmlns:p="http://schemas.microsoft.com/office/2006/metadata/properties" xmlns:ns2="6e425d3e-896b-49cb-9cfa-37430e7a0fcf" xmlns:ns3="fcdf16ed-b6c9-41e9-93a4-9514a6eae224" targetNamespace="http://schemas.microsoft.com/office/2006/metadata/properties" ma:root="true" ma:fieldsID="f1fc07f686c54cf28a2f00fce0a6f8ee" ns2:_="" ns3:_="">
    <xsd:import namespace="6e425d3e-896b-49cb-9cfa-37430e7a0fcf"/>
    <xsd:import namespace="fcdf16ed-b6c9-41e9-93a4-9514a6eae224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25d3e-896b-49cb-9cfa-37430e7a0fcf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8" nillable="true" ma:displayName="Taxonomy Catch All Column" ma:hidden="true" ma:list="{55bff7d1-1679-4762-9420-c5ceeb87f6b1}" ma:internalName="TaxCatchAll" ma:showField="CatchAllData" ma:web="6e425d3e-896b-49cb-9cfa-37430e7a0f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df16ed-b6c9-41e9-93a4-9514a6eae2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5033fad3-1c0e-438c-8ef7-82337a461f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2AFA19-9DCC-420F-95D2-324C21CA53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30EF11-9B41-48C2-989B-E5CA5E79DA4B}">
  <ds:schemaRefs>
    <ds:schemaRef ds:uri="http://schemas.microsoft.com/office/2006/documentManagement/types"/>
    <ds:schemaRef ds:uri="fcdf16ed-b6c9-41e9-93a4-9514a6eae224"/>
    <ds:schemaRef ds:uri="http://purl.org/dc/dcmitype/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6e425d3e-896b-49cb-9cfa-37430e7a0fcf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85A6D9A4-2707-4A89-972D-B16C63FD68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425d3e-896b-49cb-9cfa-37430e7a0fcf"/>
    <ds:schemaRef ds:uri="fcdf16ed-b6c9-41e9-93a4-9514a6eae2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固定案件</vt:lpstr>
      <vt:lpstr>固定案件!Print_Area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rontech</dc:creator>
  <cp:keywords/>
  <dc:description/>
  <cp:lastModifiedBy>徐 智建</cp:lastModifiedBy>
  <cp:revision/>
  <cp:lastPrinted>2026-07-21T02:30:45Z</cp:lastPrinted>
  <dcterms:created xsi:type="dcterms:W3CDTF">2020-03-17T02:13:19Z</dcterms:created>
  <dcterms:modified xsi:type="dcterms:W3CDTF">2026-09-11T02:07:43Z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0x010100135F1252AD4F104093AA247887E81414</vt:lpwstr>
  </property>
  <property fmtid="{D5CDD505-2E9C-101B-9397-08002B2CF9AE}" pid="3" name="Order">
    <vt:r8>11000</vt:r8>
  </property>
  <property fmtid="{D5CDD505-2E9C-101B-9397-08002B2CF9AE}" pid="4" name="MediaServiceImageTags">
    <vt:lpwstr/>
  </property>
  <property fmtid="{D5CDD505-2E9C-101B-9397-08002B2CF9AE}" pid="5" name="OfficeCLI.Version">
    <vt:lpwstr>1.0.144</vt:lpwstr>
  </property>
  <property fmtid="{D5CDD505-2E9C-101B-9397-08002B2CF9AE}" pid="6" name="OfficeCLI.LastModified">
    <vt:lpwstr>2026-09-11T00:36:27Z</vt:lpwstr>
  </property>
</Properties>
</file>