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案件テスト\成果物\2027-02（6）\統合テスト株式会社\"/>
    </mc:Choice>
  </mc:AlternateContent>
  <xr:revisionPtr revIDLastSave="0" documentId="13_ncr:1_{712B2B8A-C676-4C7C-A12B-EE02556F36D8}" xr6:coauthVersionLast="47" xr6:coauthVersionMax="47" xr10:uidLastSave="{00000000-0000-0000-0000-000000000000}"/>
  <bookViews>
    <workbookView xWindow="768" yWindow="768" windowWidth="17280" windowHeight="8880" activeTab="2" xr2:uid="{1562F2A9-65A0-4474-B221-BEB7ABDB720F}"/>
  </bookViews>
  <sheets>
    <sheet name="固定案件" sheetId="1" r:id="rId1"/>
    <sheet name="時間案件" sheetId="2" r:id="rId2"/>
    <sheet name="混合案件" sheetId="3" r:id="rId3"/>
  </sheets>
  <definedNames>
    <definedName name="_xlnm.Print_Area" localSheetId="0">固定案件!$A$1:$Q$44</definedName>
    <definedName name="_xlnm.Print_Area" localSheetId="2">混合案件!$A$1:$Q$44</definedName>
    <definedName name="_xlnm.Print_Area" localSheetId="1">時間案件!$A$1:$Q$44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3" l="1"/>
  <c r="L28" i="3"/>
  <c r="O27" i="3"/>
  <c r="O22" i="3"/>
  <c r="L38" i="3" s="1"/>
  <c r="C17" i="3"/>
  <c r="N4" i="3" s="1"/>
  <c r="L29" i="2"/>
  <c r="L28" i="2"/>
  <c r="O27" i="2"/>
  <c r="L25" i="2"/>
  <c r="L24" i="2"/>
  <c r="O23" i="2"/>
  <c r="L38" i="2" s="1"/>
  <c r="C17" i="2"/>
  <c r="L38" i="1"/>
  <c r="O26" i="1"/>
  <c r="O22" i="1"/>
  <c r="C17" i="1"/>
  <c r="F17" i="3"/>
  <c r="F17" i="2"/>
  <c r="N4" i="2"/>
  <c r="L39" i="3" l="1"/>
  <c r="L40" i="3"/>
  <c r="D14" i="3" s="1"/>
  <c r="L39" i="2"/>
  <c r="L40" i="2" s="1"/>
  <c r="D14" i="2" s="1"/>
  <c r="L40" i="1"/>
  <c r="D14" i="1" s="1"/>
  <c r="L39" i="1"/>
  <c r="F17" i="1"/>
  <c r="N4" i="1"/>
</calcChain>
</file>

<file path=xl/sharedStrings.xml><?xml version="1.0" encoding="utf-8"?>
<sst xmlns="http://schemas.openxmlformats.org/spreadsheetml/2006/main" count="204" uniqueCount="85">
  <si>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</si>
  <si>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</si>
  <si>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</si>
  <si>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</si>
  <si>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</si>
  <si>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</si>
  <si>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</si>
  <si>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</si>
  <si>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</si>
  <si>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</si>
  <si>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</si>
  <si>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</si>
  <si>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</si>
  <si>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</si>
  <si>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</si>
  <si>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</si>
  <si>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</si>
  <si>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</si>
  <si>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</si>
  <si>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</si>
  <si>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</si>
  <si>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</si>
  <si>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</si>
  <si>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</si>
  <si>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</si>
  <si>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</si>
  <si>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</si>
  <si>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</si>
  <si>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</si>
  <si>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</si>
  <si>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</si>
  <si>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</si>
  <si>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</si>
  <si>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</si>
  <si>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</si>
  <si>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</si>
  <si>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</si>
  <si>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</si>
  <si>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</si>
  <si>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</si>
  <si>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</si>
  <si>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</si>
  <si>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</si>
  <si>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</si>
  <si>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</si>
  <si>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</si>
  <si>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</si>
  <si>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</si>
  <si>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</si>
  <si>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統合テスト株式会社</t>
    <phoneticPr fontId="3"/>
  </si>
  <si>
    <t>固定案件</t>
    <phoneticPr fontId="3"/>
  </si>
  <si>
    <t>基本設計から結合試験</t>
    <phoneticPr fontId="3"/>
  </si>
  <si>
    <t>田中　責任者</t>
    <phoneticPr fontId="4"/>
  </si>
  <si>
    <t>技術者、料金</t>
  </si>
  <si>
    <t>固定　一郎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</si>
  <si>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</si>
  <si>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</si>
  <si>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</si>
  <si>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固定　二郎</t>
  </si>
  <si>
    <t>田中　責任者</t>
    <phoneticPr fontId="3"/>
  </si>
  <si>
    <t>固定案件の備考</t>
  </si>
  <si>
    <t>統合テスト株式会社</t>
    <phoneticPr fontId="3"/>
  </si>
  <si>
    <t>時間案件</t>
    <phoneticPr fontId="3"/>
  </si>
  <si>
    <t>詳細設計から総合試験</t>
    <phoneticPr fontId="3"/>
  </si>
  <si>
    <t>佐藤　責任者</t>
    <phoneticPr fontId="4"/>
  </si>
  <si>
    <t>技術者</t>
  </si>
  <si>
    <t>時間　一郎</t>
  </si>
  <si>
    <t>基本時間　160h～180h</t>
  </si>
  <si>
    <t>超過単価（180h超過分）※10円未満切捨</t>
  </si>
  <si>
    <t>時間</t>
  </si>
  <si>
    <t>控除単価（160h不足分）※10円未満切捨</t>
  </si>
  <si>
    <t>時間　二郎</t>
  </si>
  <si>
    <t>基本時間　150h～190h</t>
  </si>
  <si>
    <t>超過単価（190h超過分）※10円未満切捨</t>
  </si>
  <si>
    <t>控除単価（150h不足分）※10円未満切捨</t>
  </si>
  <si>
    <t>※過不足の場合は別途調整、下限時間：営業日20日未満の場合は営業日×8時間となります。</t>
    <phoneticPr fontId="3"/>
  </si>
  <si>
    <t>佐藤　責任者</t>
    <phoneticPr fontId="3"/>
  </si>
  <si>
    <t>時間案件の備考</t>
  </si>
  <si>
    <t>混合案件</t>
    <phoneticPr fontId="3"/>
  </si>
  <si>
    <t>開発および試験</t>
    <phoneticPr fontId="3"/>
  </si>
  <si>
    <t>鈴木　責任者</t>
    <phoneticPr fontId="4"/>
  </si>
  <si>
    <t>混合　固定</t>
  </si>
  <si>
    <t>混合　時間</t>
  </si>
  <si>
    <t>鈴木　責任者</t>
    <phoneticPr fontId="3"/>
  </si>
  <si>
    <t>混合案件の備考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</si>
</sst>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0D74EBA-7E90-4EDF-A528-1F5939EB6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90C8618-8673-4DDB-94C0-44BB0C39A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opLeftCell="A11" zoomScaleNormal="100" workbookViewId="0">
      <selection activeCell="J26" sqref="J26:Q26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49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52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L40</f>
        <v>1155000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17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2" t="s">
        <v>53</v>
      </c>
      <c r="B22" s="93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2">
        <v>500000</v>
      </c>
      <c r="M22" s="83"/>
      <c r="N22" s="84"/>
      <c r="O22" s="25">
        <f>J22*L22</f>
        <v>500000</v>
      </c>
      <c r="P22" s="26"/>
      <c r="Q22" s="27"/>
    </row>
    <row r="23" spans="1:17" ht="48" customHeight="1">
      <c r="A23" s="40" t="s">
        <v>56</v>
      </c>
      <c r="B23" s="41"/>
      <c r="C23" s="100" t="s">
        <v>57</v>
      </c>
      <c r="D23" s="98"/>
      <c r="E23" s="98"/>
      <c r="F23" s="98"/>
      <c r="G23" s="98"/>
      <c r="H23" s="98"/>
      <c r="I23" s="99"/>
      <c r="J23" s="8"/>
      <c r="K23" s="9"/>
      <c r="L23" s="82"/>
      <c r="M23" s="83"/>
      <c r="N23" s="84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2"/>
      <c r="M24" s="83"/>
      <c r="N24" s="84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customHeight="1">
      <c r="A26" s="92" t="s">
        <v>53</v>
      </c>
      <c r="B26" s="93"/>
      <c r="C26" s="13" t="s">
        <v>58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2">
        <v>550000</v>
      </c>
      <c r="M26" s="83"/>
      <c r="N26" s="84"/>
      <c r="O26" s="25">
        <f>J26*L26</f>
        <v>550000</v>
      </c>
      <c r="P26" s="26"/>
      <c r="Q26" s="27"/>
    </row>
    <row r="27" spans="1:17" ht="48" customHeight="1">
      <c r="A27" s="40" t="s">
        <v>56</v>
      </c>
      <c r="B27" s="41"/>
      <c r="C27" s="100" t="s">
        <v>57</v>
      </c>
      <c r="D27" s="98"/>
      <c r="E27" s="98"/>
      <c r="F27" s="98"/>
      <c r="G27" s="98"/>
      <c r="H27" s="98"/>
      <c r="I27" s="99"/>
      <c r="J27" s="8"/>
      <c r="K27" s="9"/>
      <c r="L27" s="82"/>
      <c r="M27" s="83"/>
      <c r="N27" s="84"/>
      <c r="O27" s="25"/>
      <c r="P27" s="26"/>
      <c r="Q27" s="27"/>
    </row>
    <row r="28" spans="1:17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2"/>
      <c r="M28" s="83"/>
      <c r="N28" s="84"/>
      <c r="O28" s="25"/>
      <c r="P28" s="26"/>
      <c r="Q28" s="27"/>
    </row>
    <row r="29" spans="1:17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17" ht="18.600000000000001" hidden="1" customHeight="1">
      <c r="A30" s="94" t="s">
        <v>37</v>
      </c>
      <c r="B30" s="69"/>
      <c r="C30" s="69"/>
      <c r="D30" s="69"/>
      <c r="E30" s="69"/>
      <c r="F30" s="69"/>
      <c r="G30" s="69"/>
      <c r="H30" s="69"/>
      <c r="I30" s="95"/>
      <c r="J30" s="8"/>
      <c r="K30" s="9"/>
      <c r="L30" s="31"/>
      <c r="M30" s="32"/>
      <c r="N30" s="33"/>
      <c r="O30" s="34"/>
      <c r="P30" s="34"/>
      <c r="Q30" s="34"/>
    </row>
    <row r="31" spans="1:17" ht="18.600000000000001" hidden="1" customHeight="1">
      <c r="A31" s="96"/>
      <c r="B31" s="70"/>
      <c r="C31" s="70"/>
      <c r="D31" s="70"/>
      <c r="E31" s="70"/>
      <c r="F31" s="70"/>
      <c r="G31" s="70"/>
      <c r="H31" s="70"/>
      <c r="I31" s="97"/>
      <c r="J31" s="8"/>
      <c r="K31" s="9"/>
      <c r="L31" s="31"/>
      <c r="M31" s="32"/>
      <c r="N31" s="33"/>
      <c r="O31" s="34"/>
      <c r="P31" s="34"/>
      <c r="Q31" s="34"/>
    </row>
    <row r="32" spans="1:17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9"/>
      <c r="B35" s="90"/>
      <c r="C35" s="90"/>
      <c r="D35" s="90"/>
      <c r="E35" s="90"/>
      <c r="F35" s="90"/>
      <c r="G35" s="90"/>
      <c r="H35" s="90"/>
      <c r="I35" s="91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59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9"/>
      <c r="B38" s="49"/>
      <c r="C38" s="49"/>
      <c r="D38" s="49"/>
      <c r="E38" s="49"/>
      <c r="F38" s="49"/>
      <c r="G38" s="49"/>
      <c r="H38" s="49"/>
      <c r="I38" s="50"/>
      <c r="J38" s="46" t="s">
        <v>45</v>
      </c>
      <c r="K38" s="46"/>
      <c r="L38" s="51">
        <f>SUM(O22:O29)</f>
        <v>1050000</v>
      </c>
      <c r="M38" s="52"/>
      <c r="N38" s="52"/>
      <c r="O38" s="52"/>
      <c r="P38" s="52"/>
      <c r="Q38" s="53"/>
    </row>
    <row r="39" spans="1:20" ht="20.100000000000001" customHeight="1">
      <c r="A39" s="54"/>
      <c r="B39" s="54"/>
      <c r="C39" s="54"/>
      <c r="D39" s="54"/>
      <c r="E39" s="54"/>
      <c r="F39" s="54"/>
      <c r="G39" s="54"/>
      <c r="H39" s="54"/>
      <c r="I39" s="55"/>
      <c r="J39" s="58" t="s">
        <v>46</v>
      </c>
      <c r="K39" s="58"/>
      <c r="L39" s="51">
        <f>L38*$T$6</f>
        <v>105000</v>
      </c>
      <c r="M39" s="52"/>
      <c r="N39" s="52"/>
      <c r="O39" s="52"/>
      <c r="P39" s="52"/>
      <c r="Q39" s="53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6">
        <f>L38+L39</f>
        <v>1155000</v>
      </c>
      <c r="M40" s="57"/>
      <c r="N40" s="57"/>
      <c r="O40" s="57"/>
      <c r="P40" s="57"/>
      <c r="Q40" s="57"/>
    </row>
    <row r="41" spans="1:20">
      <c r="A41" s="46" t="s">
        <v>48</v>
      </c>
      <c r="B41" s="46"/>
      <c r="C41" s="47" t="s">
        <v>60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20">
      <c r="A42" s="46"/>
      <c r="B42" s="4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1">
    <mergeCell ref="A23:B23"/>
    <mergeCell ref="C23:I23"/>
    <mergeCell ref="A27:B27"/>
    <mergeCell ref="C27:I27"/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4:I24"/>
    <mergeCell ref="L24:N24"/>
    <mergeCell ref="L21:N21"/>
    <mergeCell ref="L18:N18"/>
    <mergeCell ref="L30:N30"/>
    <mergeCell ref="A30:I31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5949-F925-4583-8DF8-5E474978EB96}">
  <sheetPr>
    <pageSetUpPr fitToPage="1"/>
  </sheetPr>
  <dimension ref="A1:T44"/>
  <sheetViews>
    <sheetView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61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64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L40</f>
        <v>968000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20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62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63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2" t="s">
        <v>65</v>
      </c>
      <c r="B22" s="93"/>
      <c r="C22" s="13" t="s">
        <v>66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67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2">
        <v>430000</v>
      </c>
      <c r="M23" s="83"/>
      <c r="N23" s="84"/>
      <c r="O23" s="25">
        <f>J23*L23</f>
        <v>430000</v>
      </c>
      <c r="P23" s="26"/>
      <c r="Q23" s="27"/>
    </row>
    <row r="24" spans="1:20" ht="18.600000000000001" customHeight="1">
      <c r="A24" s="40" t="s">
        <v>68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69</v>
      </c>
      <c r="L24" s="82">
        <f>ROUNDDOWN(L23/$T$24,-1)</f>
        <v>2380</v>
      </c>
      <c r="M24" s="83"/>
      <c r="N24" s="84"/>
      <c r="O24" s="25"/>
      <c r="P24" s="26"/>
      <c r="Q24" s="27"/>
      <c r="S24">
        <v>160</v>
      </c>
      <c r="T24">
        <v>180</v>
      </c>
    </row>
    <row r="25" spans="1:20" ht="18.600000000000001" customHeight="1">
      <c r="A25" s="40" t="s">
        <v>70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69</v>
      </c>
      <c r="L25" s="43">
        <f>ROUNDDOWN(-L23/$S$24,-1)</f>
        <v>-2680</v>
      </c>
      <c r="M25" s="44"/>
      <c r="N25" s="45"/>
      <c r="O25" s="25"/>
      <c r="P25" s="26"/>
      <c r="Q25" s="27"/>
    </row>
    <row r="26" spans="1:20" ht="18.600000000000001" customHeight="1">
      <c r="A26" s="92" t="s">
        <v>65</v>
      </c>
      <c r="B26" s="93"/>
      <c r="C26" s="13" t="s">
        <v>71</v>
      </c>
      <c r="D26" s="13"/>
      <c r="E26" s="13"/>
      <c r="F26" s="13"/>
      <c r="G26" s="13"/>
      <c r="H26" s="13"/>
      <c r="I26" s="14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40" t="s">
        <v>72</v>
      </c>
      <c r="B27" s="41"/>
      <c r="C27" s="41"/>
      <c r="D27" s="41"/>
      <c r="E27" s="41"/>
      <c r="F27" s="41"/>
      <c r="G27" s="41"/>
      <c r="H27" s="41"/>
      <c r="I27" s="42"/>
      <c r="J27" s="8">
        <v>1</v>
      </c>
      <c r="K27" s="9" t="s">
        <v>55</v>
      </c>
      <c r="L27" s="82">
        <v>450000</v>
      </c>
      <c r="M27" s="83"/>
      <c r="N27" s="84"/>
      <c r="O27" s="25">
        <f>J27*L27</f>
        <v>450000</v>
      </c>
      <c r="P27" s="26"/>
      <c r="Q27" s="27"/>
    </row>
    <row r="28" spans="1:20" ht="18.600000000000001" customHeight="1">
      <c r="A28" s="40" t="s">
        <v>73</v>
      </c>
      <c r="B28" s="41"/>
      <c r="C28" s="41"/>
      <c r="D28" s="41"/>
      <c r="E28" s="41"/>
      <c r="F28" s="41"/>
      <c r="G28" s="41"/>
      <c r="H28" s="41"/>
      <c r="I28" s="42"/>
      <c r="J28" s="8"/>
      <c r="K28" s="9" t="s">
        <v>69</v>
      </c>
      <c r="L28" s="82">
        <f>ROUNDDOWN(L27/$T$28,-1)</f>
        <v>2360</v>
      </c>
      <c r="M28" s="83"/>
      <c r="N28" s="84"/>
      <c r="O28" s="25"/>
      <c r="P28" s="26"/>
      <c r="Q28" s="27"/>
      <c r="S28">
        <v>150</v>
      </c>
      <c r="T28">
        <v>190</v>
      </c>
    </row>
    <row r="29" spans="1:20" ht="18.600000000000001" customHeight="1">
      <c r="A29" s="40" t="s">
        <v>74</v>
      </c>
      <c r="B29" s="41"/>
      <c r="C29" s="41"/>
      <c r="D29" s="41"/>
      <c r="E29" s="41"/>
      <c r="F29" s="41"/>
      <c r="G29" s="41"/>
      <c r="H29" s="41"/>
      <c r="I29" s="42"/>
      <c r="J29" s="8"/>
      <c r="K29" s="9" t="s">
        <v>69</v>
      </c>
      <c r="L29" s="43">
        <f>ROUNDDOWN(-L27/$S$28,-1)</f>
        <v>-3000</v>
      </c>
      <c r="M29" s="44"/>
      <c r="N29" s="45"/>
      <c r="O29" s="25"/>
      <c r="P29" s="26"/>
      <c r="Q29" s="27"/>
    </row>
    <row r="30" spans="1:20" ht="18.600000000000001" customHeight="1">
      <c r="A30" s="94" t="s">
        <v>75</v>
      </c>
      <c r="B30" s="69"/>
      <c r="C30" s="69"/>
      <c r="D30" s="69"/>
      <c r="E30" s="69"/>
      <c r="F30" s="69"/>
      <c r="G30" s="69"/>
      <c r="H30" s="69"/>
      <c r="I30" s="95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96"/>
      <c r="B31" s="70"/>
      <c r="C31" s="70"/>
      <c r="D31" s="70"/>
      <c r="E31" s="70"/>
      <c r="F31" s="70"/>
      <c r="G31" s="70"/>
      <c r="H31" s="70"/>
      <c r="I31" s="97"/>
      <c r="J31" s="8"/>
      <c r="K31" s="9"/>
      <c r="L31" s="31"/>
      <c r="M31" s="32"/>
      <c r="N31" s="33"/>
      <c r="O31" s="34"/>
      <c r="P31" s="34"/>
      <c r="Q31" s="34"/>
    </row>
    <row r="32" spans="1:20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9"/>
      <c r="B35" s="90"/>
      <c r="C35" s="90"/>
      <c r="D35" s="90"/>
      <c r="E35" s="90"/>
      <c r="F35" s="90"/>
      <c r="G35" s="90"/>
      <c r="H35" s="90"/>
      <c r="I35" s="91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76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9"/>
      <c r="B38" s="49"/>
      <c r="C38" s="49"/>
      <c r="D38" s="49"/>
      <c r="E38" s="49"/>
      <c r="F38" s="49"/>
      <c r="G38" s="49"/>
      <c r="H38" s="49"/>
      <c r="I38" s="50"/>
      <c r="J38" s="46" t="s">
        <v>45</v>
      </c>
      <c r="K38" s="46"/>
      <c r="L38" s="51">
        <f>SUM(O22:O29)</f>
        <v>880000</v>
      </c>
      <c r="M38" s="52"/>
      <c r="N38" s="52"/>
      <c r="O38" s="52"/>
      <c r="P38" s="52"/>
      <c r="Q38" s="53"/>
    </row>
    <row r="39" spans="1:20" ht="20.100000000000001" customHeight="1">
      <c r="A39" s="54"/>
      <c r="B39" s="54"/>
      <c r="C39" s="54"/>
      <c r="D39" s="54"/>
      <c r="E39" s="54"/>
      <c r="F39" s="54"/>
      <c r="G39" s="54"/>
      <c r="H39" s="54"/>
      <c r="I39" s="55"/>
      <c r="J39" s="58" t="s">
        <v>46</v>
      </c>
      <c r="K39" s="58"/>
      <c r="L39" s="51">
        <f>L38*$T$6</f>
        <v>88000</v>
      </c>
      <c r="M39" s="52"/>
      <c r="N39" s="52"/>
      <c r="O39" s="52"/>
      <c r="P39" s="52"/>
      <c r="Q39" s="53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6">
        <f>L38+L39</f>
        <v>968000</v>
      </c>
      <c r="M40" s="57"/>
      <c r="N40" s="57"/>
      <c r="O40" s="57"/>
      <c r="P40" s="57"/>
      <c r="Q40" s="57"/>
    </row>
    <row r="41" spans="1:20">
      <c r="A41" s="46" t="s">
        <v>48</v>
      </c>
      <c r="B41" s="46"/>
      <c r="C41" s="47" t="s">
        <v>77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20">
      <c r="A42" s="46"/>
      <c r="B42" s="4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99">
    <mergeCell ref="A28:I28"/>
    <mergeCell ref="L28:N28"/>
    <mergeCell ref="O28:Q28"/>
    <mergeCell ref="A29:I29"/>
    <mergeCell ref="L29:N29"/>
    <mergeCell ref="O29:Q29"/>
    <mergeCell ref="A26:B26"/>
    <mergeCell ref="L26:N26"/>
    <mergeCell ref="O26:Q26"/>
    <mergeCell ref="A27:I27"/>
    <mergeCell ref="L27:N27"/>
    <mergeCell ref="O27:Q27"/>
    <mergeCell ref="A39:I39"/>
    <mergeCell ref="J39:K39"/>
    <mergeCell ref="L39:Q39"/>
    <mergeCell ref="J40:K40"/>
    <mergeCell ref="L40:Q40"/>
    <mergeCell ref="A41:B42"/>
    <mergeCell ref="C41:Q42"/>
    <mergeCell ref="L36:N36"/>
    <mergeCell ref="O36:Q36"/>
    <mergeCell ref="L37:N37"/>
    <mergeCell ref="O37:Q37"/>
    <mergeCell ref="A38:I38"/>
    <mergeCell ref="J38:K38"/>
    <mergeCell ref="L38:Q38"/>
    <mergeCell ref="L33:N33"/>
    <mergeCell ref="O33:Q33"/>
    <mergeCell ref="C34:I34"/>
    <mergeCell ref="L34:N34"/>
    <mergeCell ref="O34:Q34"/>
    <mergeCell ref="A35:I35"/>
    <mergeCell ref="L35:N35"/>
    <mergeCell ref="O35:Q35"/>
    <mergeCell ref="A30:I31"/>
    <mergeCell ref="L30:N30"/>
    <mergeCell ref="O30:Q30"/>
    <mergeCell ref="L31:N31"/>
    <mergeCell ref="O31:Q31"/>
    <mergeCell ref="C32:I32"/>
    <mergeCell ref="L32:N32"/>
    <mergeCell ref="O32:Q32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A23:I23"/>
    <mergeCell ref="L23:N23"/>
    <mergeCell ref="O23:Q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7" xr:uid="{CB3FEE7B-221C-4A49-B0FC-C90841C0A596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3E66-8FAD-43E2-9A1C-BD9A12B03860}">
  <sheetPr>
    <pageSetUpPr fitToPage="1"/>
  </sheetPr>
  <dimension ref="A1:T44"/>
  <sheetViews>
    <sheetView tabSelected="1" topLeftCell="A11" zoomScaleNormal="100" workbookViewId="0">
      <selection activeCell="J22" sqref="J22:Q22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61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80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L40</f>
        <v>1232000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20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78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79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2" t="s">
        <v>53</v>
      </c>
      <c r="B22" s="93"/>
      <c r="C22" s="13" t="s">
        <v>81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2">
        <v>600000</v>
      </c>
      <c r="M22" s="83"/>
      <c r="N22" s="84"/>
      <c r="O22" s="25">
        <f>J22*L22</f>
        <v>600000</v>
      </c>
      <c r="P22" s="26"/>
      <c r="Q22" s="27"/>
    </row>
    <row r="23" spans="1:20" ht="48" customHeight="1">
      <c r="A23" s="40" t="s">
        <v>56</v>
      </c>
      <c r="B23" s="41"/>
      <c r="C23" s="100" t="s">
        <v>57</v>
      </c>
      <c r="D23" s="98"/>
      <c r="E23" s="98"/>
      <c r="F23" s="98"/>
      <c r="G23" s="98"/>
      <c r="H23" s="98"/>
      <c r="I23" s="99"/>
      <c r="J23" s="8"/>
      <c r="K23" s="9"/>
      <c r="L23" s="82"/>
      <c r="M23" s="83"/>
      <c r="N23" s="84"/>
      <c r="O23" s="25"/>
      <c r="P23" s="26"/>
      <c r="Q23" s="27"/>
    </row>
    <row r="24" spans="1:20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2"/>
      <c r="M24" s="83"/>
      <c r="N24" s="84"/>
      <c r="O24" s="25"/>
      <c r="P24" s="26"/>
      <c r="Q24" s="27"/>
    </row>
    <row r="25" spans="1:20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20" ht="18.600000000000001" customHeight="1">
      <c r="A26" s="92" t="s">
        <v>65</v>
      </c>
      <c r="B26" s="93"/>
      <c r="C26" s="13" t="s">
        <v>82</v>
      </c>
      <c r="D26" s="13"/>
      <c r="E26" s="13"/>
      <c r="F26" s="13"/>
      <c r="G26" s="13"/>
      <c r="H26" s="13"/>
      <c r="I26" s="14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40" t="s">
        <v>72</v>
      </c>
      <c r="B27" s="41"/>
      <c r="C27" s="41"/>
      <c r="D27" s="41"/>
      <c r="E27" s="41"/>
      <c r="F27" s="41"/>
      <c r="G27" s="41"/>
      <c r="H27" s="41"/>
      <c r="I27" s="42"/>
      <c r="J27" s="8">
        <v>1</v>
      </c>
      <c r="K27" s="9" t="s">
        <v>55</v>
      </c>
      <c r="L27" s="82">
        <v>520000</v>
      </c>
      <c r="M27" s="83"/>
      <c r="N27" s="84"/>
      <c r="O27" s="25">
        <f>J27*L27</f>
        <v>520000</v>
      </c>
      <c r="P27" s="26"/>
      <c r="Q27" s="27"/>
    </row>
    <row r="28" spans="1:20" ht="18.600000000000001" customHeight="1">
      <c r="A28" s="40" t="s">
        <v>73</v>
      </c>
      <c r="B28" s="41"/>
      <c r="C28" s="41"/>
      <c r="D28" s="41"/>
      <c r="E28" s="41"/>
      <c r="F28" s="41"/>
      <c r="G28" s="41"/>
      <c r="H28" s="41"/>
      <c r="I28" s="42"/>
      <c r="J28" s="8"/>
      <c r="K28" s="9" t="s">
        <v>69</v>
      </c>
      <c r="L28" s="82">
        <f>ROUNDDOWN(L27/$T$28,-1)</f>
        <v>2730</v>
      </c>
      <c r="M28" s="83"/>
      <c r="N28" s="84"/>
      <c r="O28" s="25"/>
      <c r="P28" s="26"/>
      <c r="Q28" s="27"/>
      <c r="S28">
        <v>150</v>
      </c>
      <c r="T28">
        <v>190</v>
      </c>
    </row>
    <row r="29" spans="1:20" ht="18.600000000000001" customHeight="1">
      <c r="A29" s="40" t="s">
        <v>74</v>
      </c>
      <c r="B29" s="41"/>
      <c r="C29" s="41"/>
      <c r="D29" s="41"/>
      <c r="E29" s="41"/>
      <c r="F29" s="41"/>
      <c r="G29" s="41"/>
      <c r="H29" s="41"/>
      <c r="I29" s="42"/>
      <c r="J29" s="8"/>
      <c r="K29" s="9" t="s">
        <v>69</v>
      </c>
      <c r="L29" s="43">
        <f>ROUNDDOWN(-L27/$S$28,-1)</f>
        <v>-3460</v>
      </c>
      <c r="M29" s="44"/>
      <c r="N29" s="45"/>
      <c r="O29" s="25"/>
      <c r="P29" s="26"/>
      <c r="Q29" s="27"/>
    </row>
    <row r="30" spans="1:20" ht="18.600000000000001" customHeight="1">
      <c r="A30" s="94" t="s">
        <v>75</v>
      </c>
      <c r="B30" s="69"/>
      <c r="C30" s="69"/>
      <c r="D30" s="69"/>
      <c r="E30" s="69"/>
      <c r="F30" s="69"/>
      <c r="G30" s="69"/>
      <c r="H30" s="69"/>
      <c r="I30" s="95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96"/>
      <c r="B31" s="70"/>
      <c r="C31" s="70"/>
      <c r="D31" s="70"/>
      <c r="E31" s="70"/>
      <c r="F31" s="70"/>
      <c r="G31" s="70"/>
      <c r="H31" s="70"/>
      <c r="I31" s="97"/>
      <c r="J31" s="8"/>
      <c r="K31" s="9"/>
      <c r="L31" s="31"/>
      <c r="M31" s="32"/>
      <c r="N31" s="33"/>
      <c r="O31" s="34"/>
      <c r="P31" s="34"/>
      <c r="Q31" s="34"/>
    </row>
    <row r="32" spans="1:20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9"/>
      <c r="B35" s="90"/>
      <c r="C35" s="90"/>
      <c r="D35" s="90"/>
      <c r="E35" s="90"/>
      <c r="F35" s="90"/>
      <c r="G35" s="90"/>
      <c r="H35" s="90"/>
      <c r="I35" s="91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83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9"/>
      <c r="B38" s="49"/>
      <c r="C38" s="49"/>
      <c r="D38" s="49"/>
      <c r="E38" s="49"/>
      <c r="F38" s="49"/>
      <c r="G38" s="49"/>
      <c r="H38" s="49"/>
      <c r="I38" s="50"/>
      <c r="J38" s="46" t="s">
        <v>45</v>
      </c>
      <c r="K38" s="46"/>
      <c r="L38" s="51">
        <f>SUM(O22:O29)</f>
        <v>1120000</v>
      </c>
      <c r="M38" s="52"/>
      <c r="N38" s="52"/>
      <c r="O38" s="52"/>
      <c r="P38" s="52"/>
      <c r="Q38" s="53"/>
    </row>
    <row r="39" spans="1:20" ht="20.100000000000001" customHeight="1">
      <c r="A39" s="54"/>
      <c r="B39" s="54"/>
      <c r="C39" s="54"/>
      <c r="D39" s="54"/>
      <c r="E39" s="54"/>
      <c r="F39" s="54"/>
      <c r="G39" s="54"/>
      <c r="H39" s="54"/>
      <c r="I39" s="55"/>
      <c r="J39" s="58" t="s">
        <v>46</v>
      </c>
      <c r="K39" s="58"/>
      <c r="L39" s="51">
        <f>L38*$T$6</f>
        <v>112000</v>
      </c>
      <c r="M39" s="52"/>
      <c r="N39" s="52"/>
      <c r="O39" s="52"/>
      <c r="P39" s="52"/>
      <c r="Q39" s="53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6">
        <f>L38+L39</f>
        <v>1232000</v>
      </c>
      <c r="M40" s="57"/>
      <c r="N40" s="57"/>
      <c r="O40" s="57"/>
      <c r="P40" s="57"/>
      <c r="Q40" s="57"/>
    </row>
    <row r="41" spans="1:20">
      <c r="A41" s="46" t="s">
        <v>48</v>
      </c>
      <c r="B41" s="46"/>
      <c r="C41" s="47" t="s">
        <v>84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20">
      <c r="A42" s="46"/>
      <c r="B42" s="4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0">
    <mergeCell ref="A28:I28"/>
    <mergeCell ref="L28:N28"/>
    <mergeCell ref="O28:Q28"/>
    <mergeCell ref="A29:I29"/>
    <mergeCell ref="L29:N29"/>
    <mergeCell ref="O29:Q29"/>
    <mergeCell ref="A26:B26"/>
    <mergeCell ref="L26:N26"/>
    <mergeCell ref="O26:Q26"/>
    <mergeCell ref="A27:I27"/>
    <mergeCell ref="L27:N27"/>
    <mergeCell ref="O27:Q27"/>
    <mergeCell ref="A39:I39"/>
    <mergeCell ref="J39:K39"/>
    <mergeCell ref="L39:Q39"/>
    <mergeCell ref="J40:K40"/>
    <mergeCell ref="L40:Q40"/>
    <mergeCell ref="A41:B42"/>
    <mergeCell ref="C41:Q42"/>
    <mergeCell ref="L36:N36"/>
    <mergeCell ref="O36:Q36"/>
    <mergeCell ref="L37:N37"/>
    <mergeCell ref="O37:Q37"/>
    <mergeCell ref="A38:I38"/>
    <mergeCell ref="J38:K38"/>
    <mergeCell ref="L38:Q38"/>
    <mergeCell ref="L33:N33"/>
    <mergeCell ref="O33:Q33"/>
    <mergeCell ref="C34:I34"/>
    <mergeCell ref="L34:N34"/>
    <mergeCell ref="O34:Q34"/>
    <mergeCell ref="A35:I35"/>
    <mergeCell ref="L35:N35"/>
    <mergeCell ref="O35:Q35"/>
    <mergeCell ref="A30:I31"/>
    <mergeCell ref="L30:N30"/>
    <mergeCell ref="O30:Q30"/>
    <mergeCell ref="L31:N31"/>
    <mergeCell ref="O31:Q31"/>
    <mergeCell ref="C32:I32"/>
    <mergeCell ref="L32:N32"/>
    <mergeCell ref="O32:Q32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L23:N23"/>
    <mergeCell ref="O23:Q23"/>
    <mergeCell ref="A23:B23"/>
    <mergeCell ref="C23:I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7" xr:uid="{79D83A7D-9EC6-4A44-AAC8-F52D13613047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固定案件</vt:lpstr>
      <vt:lpstr>時間案件</vt:lpstr>
      <vt:lpstr>混合案件</vt:lpstr>
      <vt:lpstr>固定案件!Print_Area</vt:lpstr>
      <vt:lpstr>混合案件!Print_Area</vt:lpstr>
      <vt:lpstr>時間案件!Print_Area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2026-09-11T02:09:56Z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